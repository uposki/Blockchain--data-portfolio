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21.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tcoin_1_1_2020-3_31_2020_hist" sheetId="1" r:id="rId4"/>
    <sheet state="visible" name="Sheet22" sheetId="2" r:id="rId5"/>
    <sheet state="visible" name="Sheet23" sheetId="3" r:id="rId6"/>
    <sheet state="visible" name="Sheet24" sheetId="4" r:id="rId7"/>
    <sheet state="visible" name="Sheet20" sheetId="5" r:id="rId8"/>
    <sheet state="visible" name="Sheet1" sheetId="6" r:id="rId9"/>
    <sheet state="visible" name="Sheet2" sheetId="7" r:id="rId10"/>
    <sheet state="visible" name="Sheet5" sheetId="8" r:id="rId11"/>
    <sheet state="visible" name="Sheet3" sheetId="9" r:id="rId12"/>
    <sheet state="visible" name="Sheet6" sheetId="10" r:id="rId13"/>
    <sheet state="visible" name="Sheet7" sheetId="11" r:id="rId14"/>
    <sheet state="visible" name="Sheet8" sheetId="12" r:id="rId15"/>
    <sheet state="visible" name="Sheet9" sheetId="13" r:id="rId16"/>
    <sheet state="visible" name="Sheet10" sheetId="14" r:id="rId17"/>
    <sheet state="visible" name="week 2 summary" sheetId="15" r:id="rId18"/>
    <sheet state="visible" name="Sheet13" sheetId="16" r:id="rId19"/>
    <sheet state="visible" name="Sheet21" sheetId="17" r:id="rId20"/>
    <sheet state="visible" name="7day MA" sheetId="18" r:id="rId21"/>
    <sheet state="visible" name="day 19" sheetId="19" r:id="rId22"/>
    <sheet state="visible" name="Sheet18" sheetId="20" r:id="rId23"/>
    <sheet state="visible" name="Pivot Table 2" sheetId="21" r:id="rId24"/>
    <sheet state="visible" name="Sheet19" sheetId="22" r:id="rId25"/>
    <sheet state="visible" name="Sheet17" sheetId="23" r:id="rId26"/>
    <sheet state="visible" name="Sheet16" sheetId="24" r:id="rId27"/>
    <sheet state="visible" name="Sheet12" sheetId="25" r:id="rId28"/>
  </sheets>
  <definedNames/>
  <calcPr/>
  <pivotCaches>
    <pivotCache cacheId="0" r:id="rId29"/>
  </pivotCaches>
</workbook>
</file>

<file path=xl/sharedStrings.xml><?xml version="1.0" encoding="utf-8"?>
<sst xmlns="http://schemas.openxmlformats.org/spreadsheetml/2006/main" count="138" uniqueCount="76">
  <si>
    <t>Date</t>
  </si>
  <si>
    <t>Price(USD)</t>
  </si>
  <si>
    <t>DATE.</t>
  </si>
  <si>
    <t>PRICE(USD)</t>
  </si>
  <si>
    <t>%volatility</t>
  </si>
  <si>
    <t>day 24 of btc %change in volatility</t>
  </si>
  <si>
    <t>there was a significant chnage across the 7days , day 4 been the highest</t>
  </si>
  <si>
    <t>while day 5 having the lowest</t>
  </si>
  <si>
    <t>Day</t>
  </si>
  <si>
    <t>Opening price</t>
  </si>
  <si>
    <t>Closing price</t>
  </si>
  <si>
    <t>Absolute change</t>
  </si>
  <si>
    <t>%change</t>
  </si>
  <si>
    <t xml:space="preserve"> </t>
  </si>
  <si>
    <t>Daily Return</t>
  </si>
  <si>
    <t>Cumulative Return</t>
  </si>
  <si>
    <t>Day 27 — Calculated cumulative return to track Bitcoin’s total performance over time.</t>
  </si>
  <si>
    <t>This shows how returns compound day by day instead of using only start and end prices.</t>
  </si>
  <si>
    <t>7day %%change</t>
  </si>
  <si>
    <t>trend label/up/down/flat</t>
  </si>
  <si>
    <t>Insights:
1️⃣ Bitcoin price remained mostly stable through Jan 2020 with small volatility.
2️⃣ February saw a gradual rise before a dip in early March.
3️⃣ Price began showing early COVID-19 crash patterns by mid-March 2020.</t>
  </si>
  <si>
    <t xml:space="preserve">Bitcoin continue in bullish trend despite few pullbacks In the past few days </t>
  </si>
  <si>
    <t xml:space="preserve">Bulls are still in control </t>
  </si>
  <si>
    <t xml:space="preserve">there have been no significant change in Bitcoin price </t>
  </si>
  <si>
    <t xml:space="preserve">the Price have been consolidating for sometimes </t>
  </si>
  <si>
    <t xml:space="preserve">Date </t>
  </si>
  <si>
    <t>Bitcoin remain in a consoliating state with no bullish or bearish intent</t>
  </si>
  <si>
    <t>close</t>
  </si>
  <si>
    <t>Day 7: BTC trend update — bullish with minor corrections.</t>
  </si>
  <si>
    <t>DATE</t>
  </si>
  <si>
    <t>PRICE</t>
  </si>
  <si>
    <t>%CHANGE</t>
  </si>
  <si>
    <t>BTC showed a small uptick today after the retracement</t>
  </si>
  <si>
    <t>overall BTC is still bullish on the higher time frame.</t>
  </si>
  <si>
    <t>AVERAGE</t>
  </si>
  <si>
    <t>Day 9: Added BTC daily price and calculated my first moving average (MA). 
The moving average shows the trend more clearly and removes noise. 
BTC is still above the MA line, which signals continuation of the current trend.</t>
  </si>
  <si>
    <t>% CHANGE</t>
  </si>
  <si>
    <t>Day 10 Update</t>
  </si>
  <si>
    <t>- Logged today’s BTC price</t>
  </si>
  <si>
    <t>- Updated % change from Day 1</t>
  </si>
  <si>
    <t>- Chart continues to show overall trend</t>
  </si>
  <si>
    <t xml:space="preserve">% change </t>
  </si>
  <si>
    <t>Day 11 Update</t>
  </si>
  <si>
    <t>- Added today’s BTC price</t>
  </si>
  <si>
    <t>- Chart continues to show the weekly progression</t>
  </si>
  <si>
    <t>O. P .W</t>
  </si>
  <si>
    <t>high price week</t>
  </si>
  <si>
    <t xml:space="preserve">   low price week</t>
  </si>
  <si>
    <t>price range</t>
  </si>
  <si>
    <t>average price</t>
  </si>
  <si>
    <t>Volatility</t>
  </si>
  <si>
    <t>This week I measured Bitcoin’s volatility by subtracting the lowest weekly price from the highest weekly price.</t>
  </si>
  <si>
    <t>It’s a simple way to see how wide BTC moved and whether the week was stable or wild.</t>
  </si>
  <si>
    <t>The bigger the range, the more aggressive the price swings.</t>
  </si>
  <si>
    <t>The smaller the range, the calmer the market.</t>
  </si>
  <si>
    <t>%change day 23-24</t>
  </si>
  <si>
    <t>7DMA</t>
  </si>
  <si>
    <t>3DMA</t>
  </si>
  <si>
    <t>When MA is above price → bullish strength</t>
  </si>
  <si>
    <t>When price is above MA → potential upward move</t>
  </si>
  <si>
    <t>Daily % Return</t>
  </si>
  <si>
    <t>wkly volatility %</t>
  </si>
  <si>
    <t>weeknum</t>
  </si>
  <si>
    <t>open</t>
  </si>
  <si>
    <t>volume</t>
  </si>
  <si>
    <t>AVERAGE of open</t>
  </si>
  <si>
    <t>AVERAGE of volume</t>
  </si>
  <si>
    <t>Grand Total</t>
  </si>
  <si>
    <t>7days moving avg</t>
  </si>
  <si>
    <t>day 21, calculated the 7-day moving average (7MA) to smooth bitcoin's short-term trend,</t>
  </si>
  <si>
    <t>daily change</t>
  </si>
  <si>
    <t>gain</t>
  </si>
  <si>
    <t>loss</t>
  </si>
  <si>
    <t>RSI</t>
  </si>
  <si>
    <t>calculated a simplified rsi score using 20-dayd avg gains and a losses to</t>
  </si>
  <si>
    <t>measure btc short momentum.helps visualize strenght vs weakness in the trend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</si>
</sst>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dd-yy"/>
    <numFmt numFmtId="165" formatCode="mmm d, yyyy"/>
    <numFmt numFmtId="166" formatCode="mmm d ,yyyy"/>
    <numFmt numFmtId="167" formatCode="mmm dd, yyyy"/>
    <numFmt numFmtId="168" formatCode="yyyy-mm-dd"/>
    <numFmt numFmtId="169" formatCode="#,##0.00;(#,##0.00)"/>
  </numFmts>
  <fonts count="9">
    <font>
      <sz val="10.0"/>
      <color rgb="FF000000"/>
      <name val="Arial"/>
      <scheme val="minor"/>
    </font>
    <font>
      <color theme="1"/>
      <name val="Arial"/>
      <scheme val="minor"/>
    </font>
    <font>
      <sz val="12.0"/>
      <color theme="1"/>
      <name val="Inter"/>
    </font>
    <font>
      <sz val="11.0"/>
      <color theme="1"/>
      <name val="Arial"/>
      <scheme val="minor"/>
    </font>
    <font>
      <sz val="12.0"/>
      <color theme="1"/>
      <name val="Arial"/>
      <scheme val="minor"/>
    </font>
    <font>
      <sz val="11.0"/>
      <color theme="1"/>
      <name val="Inter"/>
    </font>
    <font>
      <sz val="12.0"/>
      <color theme="1"/>
      <name val="Arial"/>
    </font>
    <font>
      <color theme="1"/>
      <name val="Arial"/>
    </font>
    <font>
      <sz val="9.0"/>
      <color theme="1"/>
      <name val="Inter"/>
    </font>
  </fonts>
  <fills count="3">
    <fill>
      <patternFill patternType="none"/>
    </fill>
    <fill>
      <patternFill patternType="lightGray"/>
    </fill>
    <fill>
      <patternFill patternType="solid">
        <fgColor rgb="FFFFFFFF"/>
        <bgColor rgb="FFFFFFFF"/>
      </patternFill>
    </fill>
  </fills>
  <borders count="3">
    <border/>
    <border>
      <top style="thin">
        <color rgb="FF323546"/>
      </top>
      <bottom style="thin">
        <color rgb="FF323546"/>
      </bottom>
    </border>
    <border>
      <bottom style="thin">
        <color rgb="FF323546"/>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164" xfId="0" applyAlignment="1" applyFont="1" applyNumberFormat="1">
      <alignment horizontal="left" readingOrder="0"/>
    </xf>
    <xf borderId="0" fillId="0" fontId="1" numFmtId="0" xfId="0" applyAlignment="1" applyFont="1">
      <alignment horizontal="center" readingOrder="0" vertical="top"/>
    </xf>
    <xf borderId="0" fillId="0" fontId="1" numFmtId="164" xfId="0" applyAlignment="1" applyFont="1" applyNumberFormat="1">
      <alignment horizontal="left"/>
    </xf>
    <xf borderId="0" fillId="0" fontId="1" numFmtId="0" xfId="0" applyAlignment="1" applyFont="1">
      <alignment horizontal="center" vertical="top"/>
    </xf>
    <xf borderId="1" fillId="0" fontId="2" numFmtId="0" xfId="0" applyAlignment="1" applyBorder="1" applyFont="1">
      <alignment horizontal="center" readingOrder="0" vertical="bottom"/>
    </xf>
    <xf borderId="0" fillId="0" fontId="3" numFmtId="0" xfId="0" applyAlignment="1" applyFont="1">
      <alignment horizontal="center" readingOrder="0"/>
    </xf>
    <xf borderId="0" fillId="0" fontId="1" numFmtId="0" xfId="0" applyAlignment="1" applyFont="1">
      <alignment horizontal="center" readingOrder="0"/>
    </xf>
    <xf borderId="2" fillId="0" fontId="2" numFmtId="165" xfId="0" applyAlignment="1" applyBorder="1" applyFont="1" applyNumberFormat="1">
      <alignment horizontal="center" readingOrder="0" vertical="bottom"/>
    </xf>
    <xf borderId="0" fillId="0" fontId="1" numFmtId="0" xfId="0" applyAlignment="1" applyFont="1">
      <alignment horizontal="center"/>
    </xf>
    <xf borderId="0" fillId="0" fontId="4" numFmtId="166" xfId="0" applyAlignment="1" applyFont="1" applyNumberFormat="1">
      <alignment horizontal="center" readingOrder="0"/>
    </xf>
    <xf borderId="0" fillId="0" fontId="4" numFmtId="165" xfId="0" applyAlignment="1" applyFont="1" applyNumberFormat="1">
      <alignment horizontal="center" readingOrder="0"/>
    </xf>
    <xf borderId="0" fillId="2" fontId="5" numFmtId="0" xfId="0" applyAlignment="1" applyFill="1" applyFont="1">
      <alignment horizontal="center" readingOrder="0"/>
    </xf>
    <xf borderId="2" fillId="0" fontId="2" numFmtId="165" xfId="0" applyAlignment="1" applyBorder="1" applyFont="1" applyNumberFormat="1">
      <alignment horizontal="center" vertical="bottom"/>
    </xf>
    <xf borderId="0" fillId="0" fontId="5" numFmtId="0" xfId="0" applyAlignment="1" applyFont="1">
      <alignment horizontal="center" readingOrder="0" shrinkToFit="0" wrapText="0"/>
    </xf>
    <xf borderId="0" fillId="0" fontId="1" numFmtId="0" xfId="0" applyAlignment="1" applyFont="1">
      <alignment readingOrder="0"/>
    </xf>
    <xf borderId="0" fillId="0" fontId="1" numFmtId="49" xfId="0" applyAlignment="1" applyFont="1" applyNumberFormat="1">
      <alignment horizontal="center" readingOrder="0"/>
    </xf>
    <xf borderId="0" fillId="0" fontId="1" numFmtId="165" xfId="0" applyAlignment="1" applyFont="1" applyNumberFormat="1">
      <alignment horizontal="center" readingOrder="0"/>
    </xf>
    <xf borderId="0" fillId="0" fontId="1" numFmtId="49" xfId="0" applyAlignment="1" applyFont="1" applyNumberFormat="1">
      <alignment horizontal="center"/>
    </xf>
    <xf borderId="0" fillId="0" fontId="1" numFmtId="10" xfId="0" applyAlignment="1" applyFont="1" applyNumberFormat="1">
      <alignment horizontal="center" readingOrder="0"/>
    </xf>
    <xf borderId="0" fillId="0" fontId="1" numFmtId="10" xfId="0" applyAlignment="1" applyFont="1" applyNumberFormat="1">
      <alignment horizontal="center"/>
    </xf>
    <xf borderId="2" fillId="0" fontId="5" numFmtId="0" xfId="0" applyAlignment="1" applyBorder="1" applyFont="1">
      <alignment horizontal="center" readingOrder="0" shrinkToFit="0" wrapText="0"/>
    </xf>
    <xf borderId="0" fillId="0" fontId="1" numFmtId="10" xfId="0" applyFont="1" applyNumberFormat="1"/>
    <xf borderId="2" fillId="0" fontId="5" numFmtId="0" xfId="0" applyAlignment="1" applyBorder="1" applyFont="1">
      <alignment horizontal="center" vertical="bottom"/>
    </xf>
    <xf borderId="2" fillId="0" fontId="2" numFmtId="167" xfId="0" applyAlignment="1" applyBorder="1" applyFont="1" applyNumberFormat="1">
      <alignment horizontal="center" vertical="bottom"/>
    </xf>
    <xf borderId="0" fillId="0" fontId="4" numFmtId="0" xfId="0" applyAlignment="1" applyFont="1">
      <alignment horizontal="center"/>
    </xf>
    <xf borderId="0" fillId="0" fontId="3" numFmtId="0" xfId="0" applyFont="1"/>
    <xf borderId="0" fillId="0" fontId="6" numFmtId="0" xfId="0" applyAlignment="1" applyFont="1">
      <alignment horizontal="center" vertical="bottom"/>
    </xf>
    <xf borderId="0" fillId="0" fontId="3" numFmtId="0" xfId="0" applyAlignment="1" applyFont="1">
      <alignment horizontal="center"/>
    </xf>
    <xf borderId="0" fillId="0" fontId="1" numFmtId="0" xfId="0" applyFont="1"/>
    <xf borderId="0" fillId="0" fontId="1" numFmtId="0" xfId="0" applyAlignment="1" applyFont="1">
      <alignment horizontal="left" readingOrder="0"/>
    </xf>
    <xf borderId="0" fillId="0" fontId="1" numFmtId="168" xfId="0" applyAlignment="1" applyFont="1" applyNumberFormat="1">
      <alignment readingOrder="0"/>
    </xf>
    <xf borderId="0" fillId="0" fontId="1" numFmtId="0" xfId="0" applyAlignment="1" applyFont="1">
      <alignment horizontal="left"/>
    </xf>
    <xf borderId="0" fillId="0" fontId="7" numFmtId="0" xfId="0" applyAlignment="1" applyFont="1">
      <alignment horizontal="center" readingOrder="0" vertical="bottom"/>
    </xf>
    <xf borderId="0" fillId="0" fontId="7" numFmtId="0" xfId="0" applyAlignment="1" applyFont="1">
      <alignment horizontal="center" readingOrder="0" shrinkToFit="0" vertical="bottom" wrapText="0"/>
    </xf>
    <xf borderId="0" fillId="0" fontId="7" numFmtId="0" xfId="0" applyAlignment="1" applyFont="1">
      <alignment vertical="bottom"/>
    </xf>
    <xf borderId="0" fillId="0" fontId="7" numFmtId="168" xfId="0" applyAlignment="1" applyFont="1" applyNumberFormat="1">
      <alignment horizontal="center" readingOrder="0" vertical="bottom"/>
    </xf>
    <xf borderId="0" fillId="0" fontId="7" numFmtId="0" xfId="0" applyAlignment="1" applyFont="1">
      <alignment horizontal="center" shrinkToFit="0" vertical="bottom" wrapText="0"/>
    </xf>
    <xf borderId="0" fillId="0" fontId="1" numFmtId="0" xfId="0" applyAlignment="1" applyFont="1">
      <alignment horizontal="center" shrinkToFit="0" wrapText="0"/>
    </xf>
    <xf borderId="0" fillId="0" fontId="7" numFmtId="168" xfId="0" applyAlignment="1" applyFont="1" applyNumberFormat="1">
      <alignment horizontal="center" vertical="bottom"/>
    </xf>
    <xf borderId="0" fillId="0" fontId="7" numFmtId="0" xfId="0" applyAlignment="1" applyFont="1">
      <alignment horizontal="center" vertical="bottom"/>
    </xf>
    <xf borderId="0" fillId="0" fontId="7" numFmtId="0" xfId="0" applyAlignment="1" applyFont="1">
      <alignment horizontal="center" vertical="bottom"/>
    </xf>
    <xf borderId="0" fillId="0" fontId="1" numFmtId="0" xfId="0" applyAlignment="1" applyFont="1">
      <alignment horizontal="center"/>
    </xf>
    <xf borderId="0" fillId="0" fontId="7" numFmtId="0" xfId="0" applyAlignment="1" applyFont="1">
      <alignment horizontal="left" readingOrder="0" vertical="bottom"/>
    </xf>
    <xf borderId="0" fillId="0" fontId="7" numFmtId="0" xfId="0" applyAlignment="1" applyFont="1">
      <alignment horizontal="left" vertical="bottom"/>
    </xf>
    <xf borderId="0" fillId="0" fontId="1" numFmtId="0" xfId="0" applyAlignment="1" applyFont="1">
      <alignment horizontal="left"/>
    </xf>
    <xf borderId="1" fillId="0" fontId="8" numFmtId="0" xfId="0" applyAlignment="1" applyBorder="1" applyFont="1">
      <alignment horizontal="center" readingOrder="0" shrinkToFit="0" wrapText="0"/>
    </xf>
    <xf borderId="0" fillId="0" fontId="1" numFmtId="4" xfId="0" applyAlignment="1" applyFont="1" applyNumberFormat="1">
      <alignment horizontal="center" readingOrder="0"/>
    </xf>
    <xf borderId="2" fillId="0" fontId="5" numFmtId="165" xfId="0" applyAlignment="1" applyBorder="1" applyFont="1" applyNumberFormat="1">
      <alignment horizontal="center" readingOrder="0" shrinkToFit="0" wrapText="0"/>
    </xf>
    <xf borderId="0" fillId="0" fontId="1" numFmtId="4" xfId="0" applyAlignment="1" applyFont="1" applyNumberFormat="1">
      <alignment horizontal="center"/>
    </xf>
    <xf borderId="2" fillId="0" fontId="5" numFmtId="167" xfId="0" applyAlignment="1" applyBorder="1" applyFont="1" applyNumberFormat="1">
      <alignment horizontal="center" readingOrder="0" shrinkToFit="0" wrapText="0"/>
    </xf>
    <xf borderId="1" fillId="0" fontId="8" numFmtId="0" xfId="0" applyAlignment="1" applyBorder="1" applyFont="1">
      <alignment horizontal="center" vertical="bottom"/>
    </xf>
    <xf borderId="1" fillId="0" fontId="8" numFmtId="0" xfId="0" applyAlignment="1" applyBorder="1" applyFont="1">
      <alignment horizontal="center" vertical="bottom"/>
    </xf>
    <xf borderId="2" fillId="0" fontId="5" numFmtId="165" xfId="0" applyAlignment="1" applyBorder="1" applyFont="1" applyNumberFormat="1">
      <alignment readingOrder="0" shrinkToFit="0" wrapText="0"/>
    </xf>
    <xf borderId="2" fillId="0" fontId="5" numFmtId="165" xfId="0" applyAlignment="1" applyBorder="1" applyFont="1" applyNumberFormat="1">
      <alignment horizontal="center" vertical="bottom"/>
    </xf>
    <xf borderId="2" fillId="0" fontId="5" numFmtId="167" xfId="0" applyAlignment="1" applyBorder="1" applyFont="1" applyNumberFormat="1">
      <alignment horizontal="center" vertical="bottom"/>
    </xf>
    <xf borderId="0" fillId="0" fontId="1" numFmtId="0" xfId="0" applyAlignment="1" applyFont="1">
      <alignment horizontal="right" readingOrder="0"/>
    </xf>
    <xf borderId="0" fillId="0" fontId="1" numFmtId="0" xfId="0" applyAlignment="1" applyFont="1">
      <alignment horizontal="right"/>
    </xf>
    <xf borderId="0" fillId="0" fontId="1" numFmtId="169" xfId="0" applyAlignment="1" applyFont="1" applyNumberFormat="1">
      <alignment horizontal="center"/>
    </xf>
    <xf borderId="2" fillId="2" fontId="5" numFmtId="0" xfId="0" applyAlignment="1" applyBorder="1" applyFont="1">
      <alignment horizontal="center" readingOrder="0" shrinkToFit="0" wrapText="0"/>
    </xf>
    <xf borderId="0" fillId="2" fontId="1" numFmtId="0" xfId="0" applyAlignment="1" applyFont="1">
      <alignment horizontal="center"/>
    </xf>
    <xf borderId="2" fillId="2" fontId="5" numFmtId="0" xfId="0" applyAlignment="1" applyBorder="1" applyFont="1">
      <alignment readingOrder="0" shrinkToFit="0" wrapText="0"/>
    </xf>
    <xf borderId="0" fillId="2"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pivotCacheDefinition" Target="pivotCache/pivotCacheDefinition1.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Arial"/>
              </a:defRPr>
            </a:pPr>
            <a:r>
              <a:rPr b="0" sz="1600">
                <a:solidFill>
                  <a:srgbClr val="757575"/>
                </a:solidFill>
                <a:latin typeface="Arial"/>
              </a:rPr>
              <a:t>Bitcoin chart trend from Feb 26-19 to March 31-20</a:t>
            </a:r>
          </a:p>
        </c:rich>
      </c:tx>
      <c:overlay val="0"/>
    </c:title>
    <c:plotArea>
      <c:layout/>
      <c:lineChart>
        <c:varyColors val="0"/>
        <c:ser>
          <c:idx val="0"/>
          <c:order val="0"/>
          <c:tx>
            <c:strRef>
              <c:f>'Bitcoin_1_1_2020-3_31_2020_hist'!$B$1</c:f>
            </c:strRef>
          </c:tx>
          <c:spPr>
            <a:ln cmpd="sng" w="19050">
              <a:solidFill>
                <a:srgbClr val="4285F4"/>
              </a:solidFill>
              <a:prstDash val="solid"/>
            </a:ln>
          </c:spPr>
          <c:marker>
            <c:symbol val="none"/>
          </c:marker>
          <c:cat>
            <c:strRef>
              <c:f>'Bitcoin_1_1_2020-3_31_2020_hist'!$A$2:$A$1002</c:f>
            </c:strRef>
          </c:cat>
          <c:val>
            <c:numRef>
              <c:f>'Bitcoin_1_1_2020-3_31_2020_hist'!$B$2:$B$1002</c:f>
              <c:numCache/>
            </c:numRef>
          </c:val>
          <c:smooth val="1"/>
        </c:ser>
        <c:axId val="1266850862"/>
        <c:axId val="406392986"/>
      </c:lineChart>
      <c:catAx>
        <c:axId val="1266850862"/>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Date</a:t>
                </a:r>
              </a:p>
            </c:rich>
          </c:tx>
          <c:overlay val="0"/>
        </c:title>
        <c:numFmt formatCode="General" sourceLinked="1"/>
        <c:majorTickMark val="none"/>
        <c:minorTickMark val="none"/>
        <c:spPr/>
        <c:txPr>
          <a:bodyPr/>
          <a:lstStyle/>
          <a:p>
            <a:pPr lvl="0">
              <a:defRPr b="0">
                <a:solidFill>
                  <a:srgbClr val="000000"/>
                </a:solidFill>
                <a:latin typeface="Arial"/>
              </a:defRPr>
            </a:pPr>
          </a:p>
        </c:txPr>
        <c:crossAx val="406392986"/>
      </c:catAx>
      <c:valAx>
        <c:axId val="406392986"/>
        <c:scaling>
          <c:orientation val="minMax"/>
        </c:scaling>
        <c:delete val="0"/>
        <c:axPos val="l"/>
        <c:majorGridlines>
          <c:spPr>
            <a:ln>
              <a:solidFill>
                <a:srgbClr val="B7B7B7"/>
              </a:solidFill>
            </a:ln>
          </c:spPr>
        </c:majorGridlines>
        <c:title>
          <c:tx>
            <c:rich>
              <a:bodyPr/>
              <a:lstStyle/>
              <a:p>
                <a:pPr lvl="0">
                  <a:defRPr b="0">
                    <a:solidFill>
                      <a:srgbClr val="000000"/>
                    </a:solidFill>
                    <a:latin typeface="Arial"/>
                  </a:defRPr>
                </a:pPr>
                <a:r>
                  <a:rPr b="0">
                    <a:solidFill>
                      <a:srgbClr val="000000"/>
                    </a:solidFill>
                    <a:latin typeface="Arial"/>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1266850862"/>
      </c:valAx>
    </c:plotArea>
    <c:legend>
      <c:legendPos val="r"/>
      <c:overlay val="0"/>
      <c:txPr>
        <a:bodyPr/>
        <a:lstStyle/>
        <a:p>
          <a:pPr lvl="0">
            <a:defRPr b="0">
              <a:solidFill>
                <a:srgbClr val="1A1A1A"/>
              </a:solidFill>
              <a:latin typeface="Arial"/>
            </a:defRPr>
          </a:pPr>
        </a:p>
      </c:txPr>
    </c:legend>
  </c:chart>
  <c:spPr>
    <a:solidFill>
      <a:srgbClr val="CCCC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%volatility</a:t>
            </a:r>
          </a:p>
        </c:rich>
      </c:tx>
      <c:overlay val="0"/>
    </c:title>
    <c:plotArea>
      <c:layout/>
      <c:lineChart>
        <c:ser>
          <c:idx val="0"/>
          <c:order val="0"/>
          <c:tx>
            <c:strRef>
              <c:f>Sheet22!$C$1</c:f>
            </c:strRef>
          </c:tx>
          <c:spPr>
            <a:ln cmpd="sng">
              <a:solidFill>
                <a:srgbClr val="4285F4"/>
              </a:solidFill>
              <a:prstDash val="solid"/>
            </a:ln>
          </c:spPr>
          <c:marker>
            <c:symbol val="none"/>
          </c:marker>
          <c:cat>
            <c:strRef>
              <c:f>Sheet22!$A$2:$A$7</c:f>
            </c:strRef>
          </c:cat>
          <c:val>
            <c:numRef>
              <c:f>Sheet22!$C$2:$C$7</c:f>
              <c:numCache/>
            </c:numRef>
          </c:val>
          <c:smooth val="0"/>
        </c:ser>
        <c:ser>
          <c:idx val="1"/>
          <c:order val="1"/>
          <c:tx>
            <c:strRef>
              <c:f>Sheet22!$C$1</c:f>
            </c:strRef>
          </c:tx>
          <c:spPr>
            <a:ln cmpd="sng">
              <a:solidFill>
                <a:srgbClr val="EA4335"/>
              </a:solidFill>
              <a:prstDash val="solid"/>
            </a:ln>
          </c:spPr>
          <c:marker>
            <c:symbol val="none"/>
          </c:marker>
          <c:cat>
            <c:strRef>
              <c:f>Sheet22!$A$2:$A$7</c:f>
            </c:strRef>
          </c:cat>
          <c:val>
            <c:numRef>
              <c:f>Sheet22!$C$2:$C$7</c:f>
              <c:numCache/>
            </c:numRef>
          </c:val>
          <c:smooth val="0"/>
        </c:ser>
        <c:axId val="1006954396"/>
        <c:axId val="2103714816"/>
      </c:lineChart>
      <c:catAx>
        <c:axId val="10069543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2103714816"/>
      </c:catAx>
      <c:valAx>
        <c:axId val="21037148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06954396"/>
      </c:valAx>
    </c:plotArea>
    <c:legend>
      <c:legendPos val="b"/>
      <c:overlay val="0"/>
      <c:txPr>
        <a:bodyPr/>
        <a:lstStyle/>
        <a:p>
          <a:pPr lvl="0">
            <a:defRPr b="0">
              <a:solidFill>
                <a:srgbClr val="1A1A1A"/>
              </a:solidFill>
              <a:latin typeface="+mn-lt"/>
            </a:defRPr>
          </a:pPr>
        </a:p>
      </c:txPr>
    </c:legend>
    <c:plotVisOnly val="1"/>
  </c:chart>
  <c:spPr>
    <a:solidFill>
      <a:srgbClr val="B7B7B7"/>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BTC cumulative return chart</a:t>
            </a:r>
          </a:p>
        </c:rich>
      </c:tx>
      <c:overlay val="0"/>
    </c:title>
    <c:plotArea>
      <c:layout/>
      <c:lineChart>
        <c:varyColors val="0"/>
        <c:ser>
          <c:idx val="0"/>
          <c:order val="0"/>
          <c:tx>
            <c:strRef>
              <c:f>Sheet24!$D$1</c:f>
            </c:strRef>
          </c:tx>
          <c:spPr>
            <a:ln cmpd="sng">
              <a:solidFill>
                <a:srgbClr val="4285F4"/>
              </a:solidFill>
            </a:ln>
          </c:spPr>
          <c:marker>
            <c:symbol val="none"/>
          </c:marker>
          <c:cat>
            <c:strRef>
              <c:f>Sheet24!$A$2:$A$1006</c:f>
            </c:strRef>
          </c:cat>
          <c:val>
            <c:numRef>
              <c:f>Sheet24!$D$2:$D$1006</c:f>
              <c:numCache/>
            </c:numRef>
          </c:val>
          <c:smooth val="0"/>
        </c:ser>
        <c:axId val="695020638"/>
        <c:axId val="2086065414"/>
      </c:lineChart>
      <c:catAx>
        <c:axId val="6950206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86065414"/>
      </c:catAx>
      <c:valAx>
        <c:axId val="20860654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95020638"/>
      </c:valAx>
    </c:plotArea>
    <c:legend>
      <c:legendPos val="b"/>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7days %change(1-7)</a:t>
            </a:r>
          </a:p>
        </c:rich>
      </c:tx>
      <c:overlay val="0"/>
    </c:title>
    <c:view3D>
      <c:rotX val="15"/>
      <c:rotY val="20"/>
      <c:depthPercent val="100"/>
      <c:rAngAx val="1"/>
    </c:view3D>
    <c:plotArea>
      <c:layout/>
      <c:bar3DChart>
        <c:barDir val="col"/>
        <c:grouping val="clustered"/>
        <c:ser>
          <c:idx val="0"/>
          <c:order val="0"/>
          <c:tx>
            <c:strRef>
              <c:f>Sheet20!$A$1</c:f>
            </c:strRef>
          </c:tx>
          <c:spPr>
            <a:solidFill>
              <a:schemeClr val="accent1"/>
            </a:solidFill>
            <a:ln cmpd="sng">
              <a:solidFill>
                <a:srgbClr val="000000"/>
              </a:solidFill>
            </a:ln>
          </c:spPr>
          <c:val>
            <c:numRef>
              <c:f>Sheet20!$A$2:$A$1000</c:f>
              <c:numCache/>
            </c:numRef>
          </c:val>
        </c:ser>
        <c:ser>
          <c:idx val="1"/>
          <c:order val="1"/>
          <c:tx>
            <c:strRef>
              <c:f>Sheet20!$B$1</c:f>
            </c:strRef>
          </c:tx>
          <c:spPr>
            <a:solidFill>
              <a:schemeClr val="accent2"/>
            </a:solidFill>
            <a:ln cmpd="sng">
              <a:solidFill>
                <a:srgbClr val="000000"/>
              </a:solidFill>
            </a:ln>
          </c:spPr>
          <c:val>
            <c:numRef>
              <c:f>Sheet20!$B$2:$B$1000</c:f>
              <c:numCache/>
            </c:numRef>
          </c:val>
        </c:ser>
        <c:ser>
          <c:idx val="2"/>
          <c:order val="2"/>
          <c:tx>
            <c:strRef>
              <c:f>Sheet20!$C$1</c:f>
            </c:strRef>
          </c:tx>
          <c:spPr>
            <a:solidFill>
              <a:schemeClr val="accent3"/>
            </a:solidFill>
            <a:ln cmpd="sng">
              <a:solidFill>
                <a:srgbClr val="000000"/>
              </a:solidFill>
            </a:ln>
          </c:spPr>
          <c:val>
            <c:numRef>
              <c:f>Sheet20!$C$2:$C$1000</c:f>
              <c:numCache/>
            </c:numRef>
          </c:val>
        </c:ser>
        <c:ser>
          <c:idx val="3"/>
          <c:order val="3"/>
          <c:tx>
            <c:strRef>
              <c:f>Sheet20!$D$1</c:f>
            </c:strRef>
          </c:tx>
          <c:spPr>
            <a:solidFill>
              <a:schemeClr val="accent4"/>
            </a:solidFill>
            <a:ln cmpd="sng">
              <a:solidFill>
                <a:srgbClr val="000000"/>
              </a:solidFill>
            </a:ln>
          </c:spPr>
          <c:val>
            <c:numRef>
              <c:f>Sheet20!$D$2:$D$1000</c:f>
              <c:numCache/>
            </c:numRef>
          </c:val>
        </c:ser>
        <c:ser>
          <c:idx val="4"/>
          <c:order val="4"/>
          <c:tx>
            <c:strRef>
              <c:f>Sheet20!$C$1</c:f>
            </c:strRef>
          </c:tx>
          <c:val>
            <c:numRef>
              <c:f>Sheet20!$C$2:$C$1000</c:f>
              <c:numCache/>
            </c:numRef>
          </c:val>
        </c:ser>
        <c:axId val="603418044"/>
        <c:axId val="135033155"/>
      </c:bar3DChart>
      <c:catAx>
        <c:axId val="6034180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5033155"/>
      </c:catAx>
      <c:valAx>
        <c:axId val="1350331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03418044"/>
      </c:valAx>
    </c:plotArea>
    <c:legend>
      <c:legendPos val="b"/>
      <c:overlay val="0"/>
      <c:txPr>
        <a:bodyPr/>
        <a:lstStyle/>
        <a:p>
          <a:pPr lvl="0">
            <a:defRPr b="0">
              <a:solidFill>
                <a:srgbClr val="1A1A1A"/>
              </a:solidFill>
              <a:latin typeface="+mn-lt"/>
            </a:defRPr>
          </a:pPr>
        </a:p>
      </c:txPr>
    </c:legend>
    <c:plotVisOnly val="1"/>
  </c:chart>
  <c:spPr>
    <a:solidFill>
      <a:srgbClr val="CCCC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chart trend from Feb 26-19 to March 31-20</a:t>
            </a:r>
          </a:p>
        </c:rich>
      </c:tx>
      <c:overlay val="0"/>
    </c:title>
    <c:plotArea>
      <c:layout/>
      <c:lineChart>
        <c:varyColors val="0"/>
        <c:ser>
          <c:idx val="0"/>
          <c:order val="0"/>
          <c:tx>
            <c:strRef>
              <c:f>'Bitcoin_1_1_2020-3_31_2020_hist'!$B$1</c:f>
            </c:strRef>
          </c:tx>
          <c:spPr>
            <a:ln cmpd="sng">
              <a:solidFill>
                <a:srgbClr val="4285F4"/>
              </a:solidFill>
            </a:ln>
          </c:spPr>
          <c:marker>
            <c:symbol val="none"/>
          </c:marker>
          <c:cat>
            <c:strRef>
              <c:f>'Bitcoin_1_1_2020-3_31_2020_hist'!$A$2:$A$1002</c:f>
            </c:strRef>
          </c:cat>
          <c:val>
            <c:numRef>
              <c:f>'Bitcoin_1_1_2020-3_31_2020_hist'!$B$2:$B$1002</c:f>
              <c:numCache/>
            </c:numRef>
          </c:val>
          <c:smooth val="0"/>
        </c:ser>
        <c:axId val="1331495757"/>
        <c:axId val="2035809877"/>
      </c:lineChart>
      <c:catAx>
        <c:axId val="13314957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2035809877"/>
      </c:catAx>
      <c:valAx>
        <c:axId val="20358098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31495757"/>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chart trend day 5</a:t>
            </a:r>
          </a:p>
        </c:rich>
      </c:tx>
      <c:overlay val="0"/>
    </c:title>
    <c:plotArea>
      <c:layout/>
      <c:lineChart>
        <c:varyColors val="0"/>
        <c:ser>
          <c:idx val="0"/>
          <c:order val="0"/>
          <c:tx>
            <c:strRef>
              <c:f>Sheet5!$B$1</c:f>
            </c:strRef>
          </c:tx>
          <c:spPr>
            <a:ln cmpd="sng">
              <a:solidFill>
                <a:srgbClr val="4285F4"/>
              </a:solidFill>
            </a:ln>
          </c:spPr>
          <c:marker>
            <c:symbol val="none"/>
          </c:marker>
          <c:cat>
            <c:strRef>
              <c:f>Sheet5!$A$2:$A$1000</c:f>
            </c:strRef>
          </c:cat>
          <c:val>
            <c:numRef>
              <c:f>Sheet5!$B$2:$B$1000</c:f>
              <c:numCache/>
            </c:numRef>
          </c:val>
          <c:smooth val="0"/>
        </c:ser>
        <c:axId val="1181704626"/>
        <c:axId val="1336314769"/>
      </c:lineChart>
      <c:catAx>
        <c:axId val="11817046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336314769"/>
      </c:catAx>
      <c:valAx>
        <c:axId val="13363147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81704626"/>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Bitcoin chart trend day 5</a:t>
            </a:r>
          </a:p>
        </c:rich>
      </c:tx>
      <c:overlay val="0"/>
    </c:title>
    <c:plotArea>
      <c:layout/>
      <c:lineChart>
        <c:varyColors val="0"/>
        <c:ser>
          <c:idx val="0"/>
          <c:order val="0"/>
          <c:spPr>
            <a:ln cmpd="sng">
              <a:solidFill>
                <a:srgbClr val="4285F4"/>
              </a:solidFill>
            </a:ln>
          </c:spPr>
          <c:marker>
            <c:symbol val="none"/>
          </c:marker>
          <c:cat>
            <c:strRef>
              <c:f>Sheet3!$A$1:$A$8</c:f>
            </c:strRef>
          </c:cat>
          <c:val>
            <c:numRef>
              <c:f>Sheet3!$B$1:$B$8</c:f>
              <c:numCache/>
            </c:numRef>
          </c:val>
          <c:smooth val="0"/>
        </c:ser>
        <c:axId val="1602736525"/>
        <c:axId val="1733127975"/>
      </c:lineChart>
      <c:catAx>
        <c:axId val="16027365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a:t>
                </a:r>
              </a:p>
            </c:rich>
          </c:tx>
          <c:overlay val="0"/>
        </c:title>
        <c:numFmt formatCode="General" sourceLinked="1"/>
        <c:majorTickMark val="none"/>
        <c:minorTickMark val="none"/>
        <c:spPr/>
        <c:txPr>
          <a:bodyPr/>
          <a:lstStyle/>
          <a:p>
            <a:pPr lvl="0">
              <a:defRPr b="0">
                <a:solidFill>
                  <a:srgbClr val="000000"/>
                </a:solidFill>
                <a:latin typeface="+mn-lt"/>
              </a:defRPr>
            </a:pPr>
          </a:p>
        </c:txPr>
        <c:crossAx val="1733127975"/>
      </c:catAx>
      <c:valAx>
        <c:axId val="17331279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02736525"/>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Trend  Nov 1-13   day 7</a:t>
            </a:r>
          </a:p>
        </c:rich>
      </c:tx>
      <c:overlay val="0"/>
    </c:title>
    <c:plotArea>
      <c:layout/>
      <c:lineChart>
        <c:varyColors val="0"/>
        <c:ser>
          <c:idx val="0"/>
          <c:order val="0"/>
          <c:tx>
            <c:strRef>
              <c:f>Sheet6!$B$1</c:f>
            </c:strRef>
          </c:tx>
          <c:spPr>
            <a:ln cmpd="sng">
              <a:solidFill>
                <a:srgbClr val="4285F4"/>
              </a:solidFill>
            </a:ln>
          </c:spPr>
          <c:marker>
            <c:symbol val="none"/>
          </c:marker>
          <c:cat>
            <c:strRef>
              <c:f>Sheet6!$A$2:$A$13</c:f>
            </c:strRef>
          </c:cat>
          <c:val>
            <c:numRef>
              <c:f>Sheet6!$B$2:$B$13</c:f>
              <c:numCache/>
            </c:numRef>
          </c:val>
          <c:smooth val="0"/>
        </c:ser>
        <c:axId val="1927803550"/>
        <c:axId val="610487940"/>
      </c:lineChart>
      <c:catAx>
        <c:axId val="19278035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a:t>
                </a:r>
              </a:p>
            </c:rich>
          </c:tx>
          <c:overlay val="0"/>
        </c:title>
        <c:numFmt formatCode="General" sourceLinked="1"/>
        <c:majorTickMark val="none"/>
        <c:minorTickMark val="none"/>
        <c:spPr/>
        <c:txPr>
          <a:bodyPr/>
          <a:lstStyle/>
          <a:p>
            <a:pPr lvl="0">
              <a:defRPr b="0">
                <a:solidFill>
                  <a:srgbClr val="000000"/>
                </a:solidFill>
                <a:latin typeface="+mn-lt"/>
              </a:defRPr>
            </a:pPr>
          </a:p>
        </c:txPr>
        <c:crossAx val="610487940"/>
      </c:catAx>
      <c:valAx>
        <c:axId val="6104879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close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7803550"/>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Trend Day 8</a:t>
            </a:r>
          </a:p>
        </c:rich>
      </c:tx>
      <c:overlay val="0"/>
    </c:title>
    <c:plotArea>
      <c:layout/>
      <c:lineChart>
        <c:varyColors val="0"/>
        <c:ser>
          <c:idx val="0"/>
          <c:order val="0"/>
          <c:tx>
            <c:strRef>
              <c:f>Sheet7!$B$1</c:f>
            </c:strRef>
          </c:tx>
          <c:spPr>
            <a:ln cmpd="sng">
              <a:solidFill>
                <a:srgbClr val="4285F4"/>
              </a:solidFill>
            </a:ln>
          </c:spPr>
          <c:marker>
            <c:symbol val="none"/>
          </c:marker>
          <c:cat>
            <c:strRef>
              <c:f>Sheet7!$A$2:$A$3</c:f>
            </c:strRef>
          </c:cat>
          <c:val>
            <c:numRef>
              <c:f>Sheet7!$B$2:$B$3</c:f>
              <c:numCache/>
            </c:numRef>
          </c:val>
          <c:smooth val="0"/>
        </c:ser>
        <c:axId val="1280510653"/>
        <c:axId val="1361201897"/>
      </c:lineChart>
      <c:catAx>
        <c:axId val="12805106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361201897"/>
      </c:catAx>
      <c:valAx>
        <c:axId val="13612018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80510653"/>
      </c:valAx>
    </c:plotArea>
    <c:legend>
      <c:legendPos val="r"/>
      <c:overlay val="0"/>
      <c:txPr>
        <a:bodyPr/>
        <a:lstStyle/>
        <a:p>
          <a:pPr lvl="0">
            <a:defRPr b="0">
              <a:solidFill>
                <a:srgbClr val="1A1A1A"/>
              </a:solidFill>
              <a:latin typeface="+mn-lt"/>
            </a:defRPr>
          </a:pPr>
        </a:p>
      </c:txPr>
    </c:legend>
    <c:plotVisOnly val="1"/>
  </c:chart>
  <c:spPr>
    <a:solidFill>
      <a:srgbClr val="A2C4C9"/>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AVERAGE Day 9</a:t>
            </a:r>
          </a:p>
        </c:rich>
      </c:tx>
      <c:overlay val="0"/>
    </c:title>
    <c:plotArea>
      <c:layout/>
      <c:lineChart>
        <c:ser>
          <c:idx val="0"/>
          <c:order val="0"/>
          <c:tx>
            <c:strRef>
              <c:f>Sheet8!$B$1</c:f>
            </c:strRef>
          </c:tx>
          <c:spPr>
            <a:ln cmpd="sng">
              <a:solidFill>
                <a:srgbClr val="4285F4"/>
              </a:solidFill>
            </a:ln>
          </c:spPr>
          <c:marker>
            <c:symbol val="none"/>
          </c:marker>
          <c:cat>
            <c:strRef>
              <c:f>Sheet8!$A$2:$A$15</c:f>
            </c:strRef>
          </c:cat>
          <c:val>
            <c:numRef>
              <c:f>Sheet8!$B$2:$B$15</c:f>
              <c:numCache/>
            </c:numRef>
          </c:val>
          <c:smooth val="0"/>
        </c:ser>
        <c:ser>
          <c:idx val="1"/>
          <c:order val="1"/>
          <c:tx>
            <c:strRef>
              <c:f>Sheet8!$C$1</c:f>
            </c:strRef>
          </c:tx>
          <c:spPr>
            <a:ln cmpd="sng">
              <a:solidFill>
                <a:srgbClr val="EA4335"/>
              </a:solidFill>
            </a:ln>
          </c:spPr>
          <c:marker>
            <c:symbol val="none"/>
          </c:marker>
          <c:cat>
            <c:strRef>
              <c:f>Sheet8!$A$2:$A$15</c:f>
            </c:strRef>
          </c:cat>
          <c:val>
            <c:numRef>
              <c:f>Sheet8!$C$2:$C$15</c:f>
              <c:numCache/>
            </c:numRef>
          </c:val>
          <c:smooth val="0"/>
        </c:ser>
        <c:axId val="1802353629"/>
        <c:axId val="741414782"/>
      </c:lineChart>
      <c:catAx>
        <c:axId val="18023536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741414782"/>
      </c:catAx>
      <c:valAx>
        <c:axId val="7414147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02353629"/>
      </c:valAx>
    </c:plotArea>
    <c:legend>
      <c:legendPos val="r"/>
      <c:overlay val="0"/>
      <c:txPr>
        <a:bodyPr/>
        <a:lstStyle/>
        <a:p>
          <a:pPr lvl="0">
            <a:defRPr b="0">
              <a:solidFill>
                <a:srgbClr val="1A1A1A"/>
              </a:solidFill>
              <a:latin typeface="+mn-lt"/>
            </a:defRPr>
          </a:pPr>
        </a:p>
      </c:txPr>
    </c:legend>
    <c:plotVisOnly val="1"/>
  </c:chart>
  <c:spPr>
    <a:solidFill>
      <a:srgbClr val="F9CB9C"/>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800">
                <a:solidFill>
                  <a:srgbClr val="757575"/>
                </a:solidFill>
                <a:latin typeface="+mn-lt"/>
              </a:defRPr>
            </a:pPr>
            <a:r>
              <a:rPr b="0" sz="1800">
                <a:solidFill>
                  <a:srgbClr val="757575"/>
                </a:solidFill>
                <a:latin typeface="+mn-lt"/>
              </a:rPr>
              <a:t>BTC Daily Price Trend</a:t>
            </a:r>
          </a:p>
        </c:rich>
      </c:tx>
      <c:overlay val="0"/>
    </c:title>
    <c:plotArea>
      <c:layout/>
      <c:lineChart>
        <c:ser>
          <c:idx val="0"/>
          <c:order val="0"/>
          <c:tx>
            <c:strRef>
              <c:f>Sheet9!$A$1</c:f>
            </c:strRef>
          </c:tx>
          <c:spPr>
            <a:ln cmpd="sng">
              <a:solidFill>
                <a:srgbClr val="4285F4"/>
              </a:solidFill>
            </a:ln>
          </c:spPr>
          <c:marker>
            <c:symbol val="none"/>
          </c:marker>
          <c:val>
            <c:numRef>
              <c:f>Sheet9!$A$2:$A$11</c:f>
              <c:numCache/>
            </c:numRef>
          </c:val>
          <c:smooth val="0"/>
        </c:ser>
        <c:ser>
          <c:idx val="1"/>
          <c:order val="1"/>
          <c:tx>
            <c:strRef>
              <c:f>Sheet9!$B$1</c:f>
            </c:strRef>
          </c:tx>
          <c:spPr>
            <a:ln cmpd="sng">
              <a:solidFill>
                <a:srgbClr val="EA4335"/>
              </a:solidFill>
            </a:ln>
          </c:spPr>
          <c:marker>
            <c:symbol val="none"/>
          </c:marker>
          <c:val>
            <c:numRef>
              <c:f>Sheet9!$B$2:$B$11</c:f>
              <c:numCache/>
            </c:numRef>
          </c:val>
          <c:smooth val="0"/>
        </c:ser>
        <c:axId val="1336773446"/>
        <c:axId val="1417108169"/>
      </c:lineChart>
      <c:catAx>
        <c:axId val="13367734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17108169"/>
      </c:catAx>
      <c:valAx>
        <c:axId val="14171081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36773446"/>
      </c:valAx>
    </c:plotArea>
    <c:legend>
      <c:legendPos val="r"/>
      <c:overlay val="0"/>
      <c:txPr>
        <a:bodyPr/>
        <a:lstStyle/>
        <a:p>
          <a:pPr lvl="0">
            <a:defRPr b="0">
              <a:solidFill>
                <a:srgbClr val="1A1A1A"/>
              </a:solidFill>
              <a:latin typeface="+mn-lt"/>
            </a:defRPr>
          </a:pPr>
        </a:p>
      </c:txPr>
    </c:legend>
    <c:plotVisOnly val="1"/>
  </c:chart>
  <c:spPr>
    <a:solidFill>
      <a:srgbClr val="D9D9D9"/>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daily price trend </a:t>
            </a:r>
          </a:p>
        </c:rich>
      </c:tx>
      <c:overlay val="0"/>
    </c:title>
    <c:plotArea>
      <c:layout/>
      <c:lineChart>
        <c:varyColors val="0"/>
        <c:ser>
          <c:idx val="0"/>
          <c:order val="0"/>
          <c:tx>
            <c:strRef>
              <c:f>Sheet10!$B$1</c:f>
            </c:strRef>
          </c:tx>
          <c:spPr>
            <a:ln cmpd="sng">
              <a:solidFill>
                <a:srgbClr val="4285F4"/>
              </a:solidFill>
            </a:ln>
          </c:spPr>
          <c:marker>
            <c:symbol val="none"/>
          </c:marker>
          <c:cat>
            <c:strRef>
              <c:f>Sheet10!$A$2:$A$1000</c:f>
            </c:strRef>
          </c:cat>
          <c:val>
            <c:numRef>
              <c:f>Sheet10!$B$2:$B$1000</c:f>
              <c:numCache/>
            </c:numRef>
          </c:val>
          <c:smooth val="0"/>
        </c:ser>
        <c:axId val="469222382"/>
        <c:axId val="489242729"/>
      </c:lineChart>
      <c:catAx>
        <c:axId val="4692223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489242729"/>
      </c:catAx>
      <c:valAx>
        <c:axId val="4892427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69222382"/>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weekly price movement </a:t>
            </a:r>
          </a:p>
        </c:rich>
      </c:tx>
      <c:overlay val="0"/>
    </c:title>
    <c:plotArea>
      <c:layout/>
      <c:lineChart>
        <c:ser>
          <c:idx val="0"/>
          <c:order val="0"/>
          <c:tx>
            <c:strRef>
              <c:f>'week 2 summary'!$B$1</c:f>
            </c:strRef>
          </c:tx>
          <c:spPr>
            <a:ln cmpd="sng">
              <a:solidFill>
                <a:srgbClr val="4285F4"/>
              </a:solidFill>
            </a:ln>
          </c:spPr>
          <c:marker>
            <c:symbol val="none"/>
          </c:marker>
          <c:cat>
            <c:strRef>
              <c:f>'week 2 summary'!$A$2:$A$1000</c:f>
            </c:strRef>
          </c:cat>
          <c:val>
            <c:numRef>
              <c:f>'week 2 summary'!$B$2:$B$1000</c:f>
              <c:numCache/>
            </c:numRef>
          </c:val>
          <c:smooth val="0"/>
        </c:ser>
        <c:ser>
          <c:idx val="1"/>
          <c:order val="1"/>
          <c:tx>
            <c:strRef>
              <c:f>'week 2 summary'!$D$1</c:f>
            </c:strRef>
          </c:tx>
          <c:spPr>
            <a:ln cmpd="sng">
              <a:solidFill>
                <a:srgbClr val="EA4335"/>
              </a:solidFill>
            </a:ln>
          </c:spPr>
          <c:marker>
            <c:symbol val="none"/>
          </c:marker>
          <c:cat>
            <c:strRef>
              <c:f>'week 2 summary'!$A$2:$A$1000</c:f>
            </c:strRef>
          </c:cat>
          <c:val>
            <c:numRef>
              <c:f>'week 2 summary'!$D$2:$D$1000</c:f>
              <c:numCache/>
            </c:numRef>
          </c:val>
          <c:smooth val="0"/>
        </c:ser>
        <c:ser>
          <c:idx val="2"/>
          <c:order val="2"/>
          <c:tx>
            <c:strRef>
              <c:f>'week 2 summary'!$E$1</c:f>
            </c:strRef>
          </c:tx>
          <c:spPr>
            <a:ln cmpd="sng">
              <a:solidFill>
                <a:srgbClr val="FBBC04"/>
              </a:solidFill>
            </a:ln>
          </c:spPr>
          <c:marker>
            <c:symbol val="none"/>
          </c:marker>
          <c:cat>
            <c:strRef>
              <c:f>'week 2 summary'!$A$2:$A$1000</c:f>
            </c:strRef>
          </c:cat>
          <c:val>
            <c:numRef>
              <c:f>'week 2 summary'!$E$2:$E$1000</c:f>
              <c:numCache/>
            </c:numRef>
          </c:val>
          <c:smooth val="0"/>
        </c:ser>
        <c:ser>
          <c:idx val="3"/>
          <c:order val="3"/>
          <c:tx>
            <c:strRef>
              <c:f>'week 2 summary'!$F$1</c:f>
            </c:strRef>
          </c:tx>
          <c:spPr>
            <a:ln cmpd="sng">
              <a:solidFill>
                <a:srgbClr val="34A853"/>
              </a:solidFill>
            </a:ln>
          </c:spPr>
          <c:marker>
            <c:symbol val="none"/>
          </c:marker>
          <c:cat>
            <c:strRef>
              <c:f>'week 2 summary'!$A$2:$A$1000</c:f>
            </c:strRef>
          </c:cat>
          <c:val>
            <c:numRef>
              <c:f>'week 2 summary'!$F$2:$F$1000</c:f>
              <c:numCache/>
            </c:numRef>
          </c:val>
          <c:smooth val="0"/>
        </c:ser>
        <c:ser>
          <c:idx val="4"/>
          <c:order val="4"/>
          <c:tx>
            <c:strRef>
              <c:f>'week 2 summary'!$G$1</c:f>
            </c:strRef>
          </c:tx>
          <c:spPr>
            <a:ln cmpd="sng">
              <a:solidFill>
                <a:srgbClr val="FF6D01"/>
              </a:solidFill>
            </a:ln>
          </c:spPr>
          <c:marker>
            <c:symbol val="none"/>
          </c:marker>
          <c:cat>
            <c:strRef>
              <c:f>'week 2 summary'!$A$2:$A$1000</c:f>
            </c:strRef>
          </c:cat>
          <c:val>
            <c:numRef>
              <c:f>'week 2 summary'!$G$2:$G$1000</c:f>
              <c:numCache/>
            </c:numRef>
          </c:val>
          <c:smooth val="0"/>
        </c:ser>
        <c:ser>
          <c:idx val="5"/>
          <c:order val="5"/>
          <c:tx>
            <c:strRef>
              <c:f>'week 2 summary'!$H$1</c:f>
            </c:strRef>
          </c:tx>
          <c:spPr>
            <a:ln cmpd="sng">
              <a:solidFill>
                <a:srgbClr val="46BDC6"/>
              </a:solidFill>
            </a:ln>
          </c:spPr>
          <c:marker>
            <c:symbol val="none"/>
          </c:marker>
          <c:cat>
            <c:strRef>
              <c:f>'week 2 summary'!$A$2:$A$1000</c:f>
            </c:strRef>
          </c:cat>
          <c:val>
            <c:numRef>
              <c:f>'week 2 summary'!$H$2:$H$1000</c:f>
              <c:numCache/>
            </c:numRef>
          </c:val>
          <c:smooth val="0"/>
        </c:ser>
        <c:axId val="941845464"/>
        <c:axId val="1372462521"/>
      </c:lineChart>
      <c:catAx>
        <c:axId val="9418454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372462521"/>
      </c:catAx>
      <c:valAx>
        <c:axId val="13724625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41845464"/>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and Volatility</a:t>
            </a:r>
          </a:p>
        </c:rich>
      </c:tx>
      <c:overlay val="0"/>
    </c:title>
    <c:plotArea>
      <c:layout/>
      <c:lineChart>
        <c:ser>
          <c:idx val="0"/>
          <c:order val="0"/>
          <c:tx>
            <c:strRef>
              <c:f>Sheet13!$A$1</c:f>
            </c:strRef>
          </c:tx>
          <c:spPr>
            <a:ln cmpd="sng" w="19050">
              <a:solidFill>
                <a:srgbClr val="4285F4"/>
              </a:solidFill>
            </a:ln>
          </c:spPr>
          <c:marker>
            <c:symbol val="none"/>
          </c:marker>
          <c:val>
            <c:numRef>
              <c:f>Sheet13!$A$2:$A$1000</c:f>
              <c:numCache/>
            </c:numRef>
          </c:val>
          <c:smooth val="0"/>
        </c:ser>
        <c:axId val="457325447"/>
        <c:axId val="732174859"/>
      </c:lineChart>
      <c:catAx>
        <c:axId val="4573254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32174859"/>
      </c:catAx>
      <c:valAx>
        <c:axId val="7321748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7325447"/>
      </c:valAx>
    </c:plotArea>
    <c:legend>
      <c:legendPos val="r"/>
      <c:overlay val="0"/>
      <c:txPr>
        <a:bodyPr/>
        <a:lstStyle/>
        <a:p>
          <a:pPr lvl="0">
            <a:defRPr b="0">
              <a:solidFill>
                <a:srgbClr val="1A1A1A"/>
              </a:solidFill>
              <a:latin typeface="+mn-lt"/>
            </a:defRPr>
          </a:pPr>
        </a:p>
      </c:txPr>
    </c:legend>
  </c:chart>
  <c:spPr>
    <a:solidFill>
      <a:srgbClr val="999999"/>
    </a:solidFill>
  </c:spPr>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Daily Price Trend – Week 4 (Day 18 to Day 24)</a:t>
            </a:r>
          </a:p>
        </c:rich>
      </c:tx>
      <c:overlay val="0"/>
    </c:title>
    <c:plotArea>
      <c:layout/>
      <c:lineChart>
        <c:ser>
          <c:idx val="0"/>
          <c:order val="0"/>
          <c:tx>
            <c:strRef>
              <c:f>Sheet21!$B$1</c:f>
            </c:strRef>
          </c:tx>
          <c:spPr>
            <a:ln cmpd="sng">
              <a:solidFill>
                <a:srgbClr val="4285F4"/>
              </a:solidFill>
            </a:ln>
          </c:spPr>
          <c:marker>
            <c:symbol val="none"/>
          </c:marker>
          <c:cat>
            <c:strRef>
              <c:f>Sheet21!$A$2:$A$1000</c:f>
            </c:strRef>
          </c:cat>
          <c:val>
            <c:numRef>
              <c:f>Sheet21!$B$2:$B$1000</c:f>
              <c:numCache/>
            </c:numRef>
          </c:val>
          <c:smooth val="0"/>
        </c:ser>
        <c:ser>
          <c:idx val="1"/>
          <c:order val="1"/>
          <c:tx>
            <c:strRef>
              <c:f>Sheet21!$C$1</c:f>
            </c:strRef>
          </c:tx>
          <c:spPr>
            <a:ln cmpd="sng">
              <a:solidFill>
                <a:srgbClr val="EA4335"/>
              </a:solidFill>
            </a:ln>
          </c:spPr>
          <c:marker>
            <c:symbol val="none"/>
          </c:marker>
          <c:cat>
            <c:strRef>
              <c:f>Sheet21!$A$2:$A$1000</c:f>
            </c:strRef>
          </c:cat>
          <c:val>
            <c:numRef>
              <c:f>Sheet21!$C$2:$C$1000</c:f>
              <c:numCache/>
            </c:numRef>
          </c:val>
          <c:smooth val="0"/>
        </c:ser>
        <c:axId val="545219074"/>
        <c:axId val="1250076543"/>
      </c:lineChart>
      <c:catAx>
        <c:axId val="5452190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250076543"/>
      </c:catAx>
      <c:valAx>
        <c:axId val="12500765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45219074"/>
      </c:valAx>
    </c:plotArea>
    <c:legend>
      <c:legendPos val="b"/>
      <c:overlay val="0"/>
      <c:txPr>
        <a:bodyPr/>
        <a:lstStyle/>
        <a:p>
          <a:pPr lvl="0">
            <a:defRPr b="0">
              <a:solidFill>
                <a:srgbClr val="1A1A1A"/>
              </a:solidFill>
              <a:latin typeface="+mn-lt"/>
            </a:defRPr>
          </a:pPr>
        </a:p>
      </c:txPr>
    </c:legend>
  </c:chart>
  <c:spPr>
    <a:solidFill>
      <a:srgbClr val="FFFFFF"/>
    </a:solidFill>
  </c:spPr>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DMA</a:t>
            </a:r>
          </a:p>
        </c:rich>
      </c:tx>
      <c:overlay val="0"/>
    </c:title>
    <c:plotArea>
      <c:layout/>
      <c:lineChart>
        <c:ser>
          <c:idx val="0"/>
          <c:order val="0"/>
          <c:tx>
            <c:strRef>
              <c:f>'7day MA'!$B$1</c:f>
            </c:strRef>
          </c:tx>
          <c:spPr>
            <a:ln cmpd="sng">
              <a:solidFill>
                <a:srgbClr val="4285F4"/>
              </a:solidFill>
            </a:ln>
          </c:spPr>
          <c:marker>
            <c:symbol val="none"/>
          </c:marker>
          <c:cat>
            <c:strRef>
              <c:f>'7day MA'!$A$2:$A$18</c:f>
            </c:strRef>
          </c:cat>
          <c:val>
            <c:numRef>
              <c:f>'7day MA'!$B$2:$B$18</c:f>
              <c:numCache/>
            </c:numRef>
          </c:val>
          <c:smooth val="0"/>
        </c:ser>
        <c:ser>
          <c:idx val="1"/>
          <c:order val="1"/>
          <c:tx>
            <c:strRef>
              <c:f>'7day MA'!$C$1</c:f>
            </c:strRef>
          </c:tx>
          <c:spPr>
            <a:ln cmpd="sng">
              <a:solidFill>
                <a:srgbClr val="EA4335"/>
              </a:solidFill>
            </a:ln>
          </c:spPr>
          <c:marker>
            <c:symbol val="none"/>
          </c:marker>
          <c:cat>
            <c:strRef>
              <c:f>'7day MA'!$A$2:$A$18</c:f>
            </c:strRef>
          </c:cat>
          <c:val>
            <c:numRef>
              <c:f>'7day MA'!$C$2:$C$18</c:f>
              <c:numCache/>
            </c:numRef>
          </c:val>
          <c:smooth val="0"/>
        </c:ser>
        <c:axId val="1556726611"/>
        <c:axId val="1071870286"/>
      </c:lineChart>
      <c:catAx>
        <c:axId val="15567266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071870286"/>
      </c:catAx>
      <c:valAx>
        <c:axId val="10718702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6726611"/>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 BTC 7 and 3 days moving average </a:t>
            </a:r>
          </a:p>
        </c:rich>
      </c:tx>
      <c:overlay val="0"/>
    </c:title>
    <c:plotArea>
      <c:layout/>
      <c:lineChart>
        <c:ser>
          <c:idx val="0"/>
          <c:order val="0"/>
          <c:spPr>
            <a:ln cmpd="sng">
              <a:solidFill>
                <a:srgbClr val="4285F4"/>
              </a:solidFill>
            </a:ln>
          </c:spPr>
          <c:marker>
            <c:symbol val="none"/>
          </c:marker>
          <c:cat>
            <c:strRef>
              <c:f>'7day MA'!$A$1:$A$1003</c:f>
            </c:strRef>
          </c:cat>
          <c:val>
            <c:numRef>
              <c:f>'7day MA'!$B$1:$B$1003</c:f>
              <c:numCache/>
            </c:numRef>
          </c:val>
          <c:smooth val="0"/>
        </c:ser>
        <c:ser>
          <c:idx val="1"/>
          <c:order val="1"/>
          <c:spPr>
            <a:ln cmpd="sng">
              <a:solidFill>
                <a:srgbClr val="EA4335"/>
              </a:solidFill>
            </a:ln>
          </c:spPr>
          <c:marker>
            <c:symbol val="none"/>
          </c:marker>
          <c:cat>
            <c:strRef>
              <c:f>'7day MA'!$A$1:$A$1003</c:f>
            </c:strRef>
          </c:cat>
          <c:val>
            <c:numRef>
              <c:f>'7day MA'!$C$1:$C$1003</c:f>
              <c:numCache/>
            </c:numRef>
          </c:val>
          <c:smooth val="0"/>
        </c:ser>
        <c:ser>
          <c:idx val="2"/>
          <c:order val="2"/>
          <c:spPr>
            <a:ln cmpd="sng">
              <a:solidFill>
                <a:srgbClr val="FBBC04"/>
              </a:solidFill>
            </a:ln>
          </c:spPr>
          <c:marker>
            <c:symbol val="none"/>
          </c:marker>
          <c:cat>
            <c:strRef>
              <c:f>'7day MA'!$A$1:$A$1003</c:f>
            </c:strRef>
          </c:cat>
          <c:val>
            <c:numRef>
              <c:f>'7day MA'!$D$1:$D$1003</c:f>
              <c:numCache/>
            </c:numRef>
          </c:val>
          <c:smooth val="0"/>
        </c:ser>
        <c:axId val="484619943"/>
        <c:axId val="39560238"/>
      </c:lineChart>
      <c:catAx>
        <c:axId val="4846199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9560238"/>
      </c:catAx>
      <c:valAx>
        <c:axId val="395602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84619943"/>
      </c:valAx>
    </c:plotArea>
    <c:legend>
      <c:legendPos val="b"/>
      <c:overlay val="0"/>
      <c:txPr>
        <a:bodyPr/>
        <a:lstStyle/>
        <a:p>
          <a:pPr lvl="0">
            <a:defRPr b="0">
              <a:solidFill>
                <a:srgbClr val="1A1A1A"/>
              </a:solidFill>
              <a:latin typeface="+mn-lt"/>
            </a:defRPr>
          </a:pPr>
        </a:p>
      </c:txPr>
    </c:legend>
  </c:chart>
  <c:spPr>
    <a:solidFill>
      <a:srgbClr val="FFFFFF"/>
    </a:solidFill>
  </c:spPr>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vs. DATE.</a:t>
            </a:r>
          </a:p>
        </c:rich>
      </c:tx>
      <c:overlay val="0"/>
    </c:title>
    <c:plotArea>
      <c:layout/>
      <c:lineChart>
        <c:varyColors val="0"/>
        <c:ser>
          <c:idx val="0"/>
          <c:order val="0"/>
          <c:tx>
            <c:strRef>
              <c:f>'day 19'!$B$1</c:f>
            </c:strRef>
          </c:tx>
          <c:spPr>
            <a:ln cmpd="sng">
              <a:solidFill>
                <a:srgbClr val="4285F4"/>
              </a:solidFill>
            </a:ln>
          </c:spPr>
          <c:marker>
            <c:symbol val="none"/>
          </c:marker>
          <c:cat>
            <c:strRef>
              <c:f>'day 19'!$A$2:$A$1006</c:f>
            </c:strRef>
          </c:cat>
          <c:val>
            <c:numRef>
              <c:f>'day 19'!$B$2:$B$1006</c:f>
              <c:numCache/>
            </c:numRef>
          </c:val>
          <c:smooth val="0"/>
        </c:ser>
        <c:axId val="1142151016"/>
        <c:axId val="1644756116"/>
      </c:lineChart>
      <c:catAx>
        <c:axId val="11421510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644756116"/>
      </c:catAx>
      <c:valAx>
        <c:axId val="16447561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42151016"/>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7days moving avg</a:t>
            </a:r>
          </a:p>
        </c:rich>
      </c:tx>
      <c:overlay val="0"/>
    </c:title>
    <c:plotArea>
      <c:layout/>
      <c:lineChart>
        <c:ser>
          <c:idx val="0"/>
          <c:order val="0"/>
          <c:tx>
            <c:strRef>
              <c:f>Sheet17!$B$1</c:f>
            </c:strRef>
          </c:tx>
          <c:spPr>
            <a:ln cmpd="sng">
              <a:solidFill>
                <a:srgbClr val="4285F4"/>
              </a:solidFill>
            </a:ln>
          </c:spPr>
          <c:marker>
            <c:symbol val="none"/>
          </c:marker>
          <c:cat>
            <c:strRef>
              <c:f>Sheet17!$A$2:$A$20</c:f>
            </c:strRef>
          </c:cat>
          <c:val>
            <c:numRef>
              <c:f>Sheet17!$B$2:$B$20</c:f>
              <c:numCache/>
            </c:numRef>
          </c:val>
          <c:smooth val="0"/>
        </c:ser>
        <c:ser>
          <c:idx val="1"/>
          <c:order val="1"/>
          <c:tx>
            <c:strRef>
              <c:f>Sheet17!$C$1</c:f>
            </c:strRef>
          </c:tx>
          <c:spPr>
            <a:ln cmpd="sng">
              <a:solidFill>
                <a:srgbClr val="EA4335"/>
              </a:solidFill>
            </a:ln>
          </c:spPr>
          <c:marker>
            <c:symbol val="none"/>
          </c:marker>
          <c:cat>
            <c:strRef>
              <c:f>Sheet17!$A$2:$A$20</c:f>
            </c:strRef>
          </c:cat>
          <c:val>
            <c:numRef>
              <c:f>Sheet17!$C$2:$C$20</c:f>
              <c:numCache/>
            </c:numRef>
          </c:val>
          <c:smooth val="0"/>
        </c:ser>
        <c:axId val="557850041"/>
        <c:axId val="1444296824"/>
      </c:lineChart>
      <c:catAx>
        <c:axId val="5578500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444296824"/>
      </c:catAx>
      <c:valAx>
        <c:axId val="14442968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57850041"/>
      </c:valAx>
    </c:plotArea>
    <c:legend>
      <c:legendPos val="b"/>
      <c:overlay val="0"/>
      <c:txPr>
        <a:bodyPr/>
        <a:lstStyle/>
        <a:p>
          <a:pPr lvl="0">
            <a:defRPr b="0">
              <a:solidFill>
                <a:srgbClr val="1A1A1A"/>
              </a:solidFill>
              <a:latin typeface="+mn-lt"/>
            </a:defRPr>
          </a:pPr>
        </a:p>
      </c:txPr>
    </c:legend>
    <c:plotVisOnly val="1"/>
  </c:chart>
  <c:spPr>
    <a:solidFill>
      <a:srgbClr val="B7B7B7"/>
    </a:solidFill>
  </c:spPr>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vs rsi day 20</a:t>
            </a:r>
          </a:p>
        </c:rich>
      </c:tx>
      <c:overlay val="0"/>
    </c:title>
    <c:plotArea>
      <c:layout/>
      <c:lineChart>
        <c:ser>
          <c:idx val="0"/>
          <c:order val="0"/>
          <c:tx>
            <c:strRef>
              <c:f>Sheet16!$A$1</c:f>
            </c:strRef>
          </c:tx>
          <c:spPr>
            <a:ln cmpd="sng">
              <a:solidFill>
                <a:srgbClr val="4285F4"/>
              </a:solidFill>
            </a:ln>
          </c:spPr>
          <c:marker>
            <c:symbol val="none"/>
          </c:marker>
          <c:val>
            <c:numRef>
              <c:f>Sheet16!$A$2:$A$1006</c:f>
              <c:numCache/>
            </c:numRef>
          </c:val>
          <c:smooth val="0"/>
        </c:ser>
        <c:ser>
          <c:idx val="1"/>
          <c:order val="1"/>
          <c:tx>
            <c:strRef>
              <c:f>Sheet16!$B$1</c:f>
            </c:strRef>
          </c:tx>
          <c:spPr>
            <a:ln cmpd="sng">
              <a:solidFill>
                <a:srgbClr val="EA4335"/>
              </a:solidFill>
            </a:ln>
          </c:spPr>
          <c:marker>
            <c:symbol val="none"/>
          </c:marker>
          <c:val>
            <c:numRef>
              <c:f>Sheet16!$B$2:$B$1006</c:f>
              <c:numCache/>
            </c:numRef>
          </c:val>
          <c:smooth val="0"/>
        </c:ser>
        <c:ser>
          <c:idx val="2"/>
          <c:order val="2"/>
          <c:tx>
            <c:strRef>
              <c:f>Sheet16!$C$1</c:f>
            </c:strRef>
          </c:tx>
          <c:spPr>
            <a:ln cmpd="sng">
              <a:solidFill>
                <a:srgbClr val="FBBC04"/>
              </a:solidFill>
            </a:ln>
          </c:spPr>
          <c:marker>
            <c:symbol val="none"/>
          </c:marker>
          <c:val>
            <c:numRef>
              <c:f>Sheet16!$C$2:$C$1006</c:f>
              <c:numCache/>
            </c:numRef>
          </c:val>
          <c:smooth val="0"/>
        </c:ser>
        <c:ser>
          <c:idx val="3"/>
          <c:order val="3"/>
          <c:tx>
            <c:strRef>
              <c:f>Sheet16!$D$1</c:f>
            </c:strRef>
          </c:tx>
          <c:spPr>
            <a:ln cmpd="sng">
              <a:solidFill>
                <a:srgbClr val="34A853"/>
              </a:solidFill>
            </a:ln>
          </c:spPr>
          <c:marker>
            <c:symbol val="none"/>
          </c:marker>
          <c:val>
            <c:numRef>
              <c:f>Sheet16!$D$2:$D$1006</c:f>
              <c:numCache/>
            </c:numRef>
          </c:val>
          <c:smooth val="0"/>
        </c:ser>
        <c:ser>
          <c:idx val="4"/>
          <c:order val="4"/>
          <c:tx>
            <c:strRef>
              <c:f>Sheet16!$E$1</c:f>
            </c:strRef>
          </c:tx>
          <c:spPr>
            <a:ln cmpd="sng">
              <a:solidFill>
                <a:srgbClr val="FF6D01"/>
              </a:solidFill>
            </a:ln>
          </c:spPr>
          <c:marker>
            <c:symbol val="none"/>
          </c:marker>
          <c:val>
            <c:numRef>
              <c:f>Sheet16!$E$2:$E$1006</c:f>
              <c:numCache/>
            </c:numRef>
          </c:val>
          <c:smooth val="0"/>
        </c:ser>
        <c:axId val="1608472897"/>
        <c:axId val="2035544640"/>
      </c:lineChart>
      <c:catAx>
        <c:axId val="16084728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35544640"/>
      </c:catAx>
      <c:valAx>
        <c:axId val="20355446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08472897"/>
      </c:valAx>
    </c:plotArea>
    <c:legend>
      <c:legendPos val="b"/>
      <c:overlay val="0"/>
      <c:txPr>
        <a:bodyPr/>
        <a:lstStyle/>
        <a:p>
          <a:pPr lvl="0">
            <a:defRPr b="0">
              <a:solidFill>
                <a:srgbClr val="1A1A1A"/>
              </a:solidFill>
              <a:latin typeface="+mn-lt"/>
            </a:defRPr>
          </a:pPr>
        </a:p>
      </c:txPr>
    </c:legend>
    <c:plotVisOnly val="1"/>
  </c:chart>
  <c:spPr>
    <a:solidFill>
      <a:srgbClr val="D9D9D9"/>
    </a:solidFill>
  </c:spPr>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and average price</a:t>
            </a:r>
          </a:p>
        </c:rich>
      </c:tx>
      <c:overlay val="0"/>
    </c:title>
    <c:plotArea>
      <c:layout/>
      <c:lineChart>
        <c:ser>
          <c:idx val="0"/>
          <c:order val="0"/>
          <c:tx>
            <c:strRef>
              <c:f>Sheet12!$A$1</c:f>
            </c:strRef>
          </c:tx>
          <c:spPr>
            <a:ln cmpd="sng">
              <a:solidFill>
                <a:srgbClr val="4285F4"/>
              </a:solidFill>
            </a:ln>
          </c:spPr>
          <c:marker>
            <c:symbol val="none"/>
          </c:marker>
          <c:val>
            <c:numRef>
              <c:f>Sheet12!$A$2:$A$1000</c:f>
              <c:numCache/>
            </c:numRef>
          </c:val>
          <c:smooth val="0"/>
        </c:ser>
        <c:ser>
          <c:idx val="1"/>
          <c:order val="1"/>
          <c:tx>
            <c:strRef>
              <c:f>Sheet12!$B$1</c:f>
            </c:strRef>
          </c:tx>
          <c:spPr>
            <a:ln cmpd="sng">
              <a:solidFill>
                <a:srgbClr val="EA4335"/>
              </a:solidFill>
            </a:ln>
          </c:spPr>
          <c:marker>
            <c:symbol val="none"/>
          </c:marker>
          <c:val>
            <c:numRef>
              <c:f>Sheet12!$B$2:$B$1000</c:f>
              <c:numCache/>
            </c:numRef>
          </c:val>
          <c:smooth val="0"/>
        </c:ser>
        <c:axId val="576531500"/>
        <c:axId val="1491080919"/>
      </c:lineChart>
      <c:catAx>
        <c:axId val="5765315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Average price </a:t>
                </a:r>
              </a:p>
            </c:rich>
          </c:tx>
          <c:overlay val="0"/>
        </c:title>
        <c:numFmt formatCode="General" sourceLinked="1"/>
        <c:majorTickMark val="none"/>
        <c:minorTickMark val="none"/>
        <c:spPr/>
        <c:txPr>
          <a:bodyPr/>
          <a:lstStyle/>
          <a:p>
            <a:pPr lvl="0">
              <a:defRPr b="0">
                <a:solidFill>
                  <a:srgbClr val="000000"/>
                </a:solidFill>
                <a:latin typeface="+mn-lt"/>
              </a:defRPr>
            </a:pPr>
          </a:p>
        </c:txPr>
        <c:crossAx val="1491080919"/>
      </c:catAx>
      <c:valAx>
        <c:axId val="14910809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76531500"/>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image" Target="../media/Chart6.png"/></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Relationships>
</file>

<file path=xl/drawings/_rels/drawing19.xml.rels><?xml version="1.0" encoding="UTF-8" standalone="yes"?><Relationships xmlns="http://schemas.openxmlformats.org/package/2006/relationships"><Relationship Id="rId1" Type="http://schemas.openxmlformats.org/officeDocument/2006/relationships/image" Target="../media/Chart19.png"/><Relationship Id="rId2" Type="http://schemas.openxmlformats.org/officeDocument/2006/relationships/chart" Target="../charts/chart18.xml"/></Relationships>
</file>

<file path=xl/drawings/_rels/drawing21.xml.rels><?xml version="1.0" encoding="UTF-8" standalone="yes"?><Relationships xmlns="http://schemas.openxmlformats.org/package/2006/relationships"><Relationship Id="rId1" Type="http://schemas.openxmlformats.org/officeDocument/2006/relationships/image" Target="../media/Chart21.png"/></Relationships>
</file>

<file path=xl/drawings/_rels/drawing23.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1</xdr:row>
      <xdr:rowOff>57150</xdr:rowOff>
    </xdr:from>
    <xdr:ext cx="3657600" cy="2514600"/>
    <xdr:graphicFrame>
      <xdr:nvGraphicFramePr>
        <xdr:cNvPr id="1" name="Chart 1" title="Bitcoin chart trend from Feb 26-19 to March 31-2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190500</xdr:colOff>
      <xdr:row>0</xdr:row>
      <xdr:rowOff>28575</xdr:rowOff>
    </xdr:from>
    <xdr:ext cx="2752725" cy="24955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180975</xdr:colOff>
      <xdr:row>0</xdr:row>
      <xdr:rowOff>38100</xdr:rowOff>
    </xdr:from>
    <xdr:ext cx="3362325" cy="257175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xdr:colOff>
      <xdr:row>0</xdr:row>
      <xdr:rowOff>161925</xdr:rowOff>
    </xdr:from>
    <xdr:ext cx="3571875" cy="300990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715000" cy="3533775"/>
    <xdr:graphicFrame>
      <xdr:nvGraphicFramePr>
        <xdr:cNvPr id="5" name="Chart 5" title="Bitcoin chart trend from Feb 26-19 to March 31-2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952500</xdr:colOff>
      <xdr:row>14</xdr:row>
      <xdr:rowOff>28575</xdr:rowOff>
    </xdr:from>
    <xdr:ext cx="3705225" cy="2286000"/>
    <xdr:pic>
      <xdr:nvPicPr>
        <xdr:cNvPr id="176855356" name="Chart6"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942975</xdr:colOff>
      <xdr:row>7</xdr:row>
      <xdr:rowOff>114300</xdr:rowOff>
    </xdr:from>
    <xdr:ext cx="2971800" cy="2733675"/>
    <xdr:graphicFrame>
      <xdr:nvGraphicFramePr>
        <xdr:cNvPr id="7" name="Chart 7" title="Bitcoin chart trend day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0</xdr:row>
      <xdr:rowOff>0</xdr:rowOff>
    </xdr:from>
    <xdr:ext cx="3790950" cy="275272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12</xdr:row>
      <xdr:rowOff>180975</xdr:rowOff>
    </xdr:from>
    <xdr:ext cx="4076700" cy="3009900"/>
    <xdr:graphicFrame>
      <xdr:nvGraphicFramePr>
        <xdr:cNvPr id="9" name="Chart 9" title="Bitcoin Trend  Nov 1-13   day 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952500</xdr:colOff>
      <xdr:row>0</xdr:row>
      <xdr:rowOff>47625</xdr:rowOff>
    </xdr:from>
    <xdr:ext cx="2724150" cy="1600200"/>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15</xdr:row>
      <xdr:rowOff>142875</xdr:rowOff>
    </xdr:from>
    <xdr:ext cx="3714750" cy="2419350"/>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0</xdr:row>
      <xdr:rowOff>9525</xdr:rowOff>
    </xdr:from>
    <xdr:ext cx="2886075" cy="2419350"/>
    <xdr:graphicFrame>
      <xdr:nvGraphicFramePr>
        <xdr:cNvPr id="12"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2</xdr:row>
      <xdr:rowOff>66675</xdr:rowOff>
    </xdr:from>
    <xdr:ext cx="3381375" cy="2095500"/>
    <xdr:graphicFrame>
      <xdr:nvGraphicFramePr>
        <xdr:cNvPr id="13" name="Chart 13" title="BTC daily price trend "/>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800100</xdr:colOff>
      <xdr:row>2</xdr:row>
      <xdr:rowOff>57150</xdr:rowOff>
    </xdr:from>
    <xdr:ext cx="3648075" cy="2257425"/>
    <xdr:graphicFrame>
      <xdr:nvGraphicFramePr>
        <xdr:cNvPr id="14" name="Chart 14" title="BTC weekly price movement "/>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123825</xdr:colOff>
      <xdr:row>2</xdr:row>
      <xdr:rowOff>161925</xdr:rowOff>
    </xdr:from>
    <xdr:ext cx="2066925" cy="1704975"/>
    <xdr:graphicFrame>
      <xdr:nvGraphicFramePr>
        <xdr:cNvPr id="15" name="Chart 15" title="PRICE(USD), average price and Volatility"/>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809625</xdr:colOff>
      <xdr:row>4</xdr:row>
      <xdr:rowOff>9525</xdr:rowOff>
    </xdr:from>
    <xdr:ext cx="3581400" cy="2219325"/>
    <xdr:graphicFrame>
      <xdr:nvGraphicFramePr>
        <xdr:cNvPr id="16" name="Chart 16" title="BTC Daily Price Trend – Week 4 (Day 18 to Day 2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152400</xdr:rowOff>
    </xdr:from>
    <xdr:ext cx="1733550" cy="1276350"/>
    <xdr:graphicFrame>
      <xdr:nvGraphicFramePr>
        <xdr:cNvPr id="17" name="Chart 1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85725</xdr:colOff>
      <xdr:row>26</xdr:row>
      <xdr:rowOff>171450</xdr:rowOff>
    </xdr:from>
    <xdr:ext cx="3019425" cy="2647950"/>
    <xdr:graphicFrame>
      <xdr:nvGraphicFramePr>
        <xdr:cNvPr id="18" name="Chart 18" title=" BTC 7 and 3 days moving average "/>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23</xdr:row>
      <xdr:rowOff>142875</xdr:rowOff>
    </xdr:from>
    <xdr:ext cx="2105025" cy="1828800"/>
    <xdr:pic>
      <xdr:nvPicPr>
        <xdr:cNvPr id="94628043" name="Chart19" title="Histogram of Daily % Return">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657225</xdr:colOff>
      <xdr:row>21</xdr:row>
      <xdr:rowOff>85725</xdr:rowOff>
    </xdr:from>
    <xdr:ext cx="3248025" cy="2009775"/>
    <xdr:graphicFrame>
      <xdr:nvGraphicFramePr>
        <xdr:cNvPr id="20" name="Chart 20" title="PRICE(USD) vs. DATE."/>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66675</xdr:colOff>
      <xdr:row>0</xdr:row>
      <xdr:rowOff>0</xdr:rowOff>
    </xdr:from>
    <xdr:ext cx="2828925" cy="1933575"/>
    <xdr:pic>
      <xdr:nvPicPr>
        <xdr:cNvPr id="99025006" name="Chart2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76200</xdr:colOff>
      <xdr:row>2</xdr:row>
      <xdr:rowOff>76200</xdr:rowOff>
    </xdr:from>
    <xdr:ext cx="4391025" cy="2800350"/>
    <xdr:graphicFrame>
      <xdr:nvGraphicFramePr>
        <xdr:cNvPr id="22" name="Chart 2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2</xdr:row>
      <xdr:rowOff>219075</xdr:rowOff>
    </xdr:from>
    <xdr:ext cx="2790825" cy="2009775"/>
    <xdr:graphicFrame>
      <xdr:nvGraphicFramePr>
        <xdr:cNvPr id="23" name="Chart 2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2</xdr:row>
      <xdr:rowOff>190500</xdr:rowOff>
    </xdr:from>
    <xdr:ext cx="2981325" cy="1990725"/>
    <xdr:graphicFrame>
      <xdr:nvGraphicFramePr>
        <xdr:cNvPr id="24" name="Chart 24" title="PRICE(USD) and average pric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007" sheet="Sheet18"/>
  </cacheSource>
  <cacheFields>
    <cacheField name="DATE." numFmtId="165">
      <sharedItems containsDate="1" containsString="0" containsBlank="1">
        <d v="2025-11-25T00:00:00Z"/>
        <d v="2025-11-24T00:00:00Z"/>
        <d v="2025-11-23T00:00:00Z"/>
        <d v="2025-11-22T00:00:00Z"/>
        <d v="2025-11-21T00:00:00Z"/>
        <d v="2025-11-20T00:00:00Z"/>
        <d v="2025-11-19T00:00:00Z"/>
        <d v="2025-11-18T00:00:00Z"/>
        <d v="2025-11-17T00:00:00Z"/>
        <d v="2025-11-16T00:00:00Z"/>
        <d v="2025-11-15T00:00:00Z"/>
        <d v="2025-11-14T00:00:00Z"/>
        <d v="2025-11-13T00:00:00Z"/>
        <d v="2025-11-12T00:00:00Z"/>
        <d v="2025-11-11T00:00:00Z"/>
        <d v="2025-11-10T00:00:00Z"/>
        <d v="2025-11-09T00:00:00Z"/>
        <d v="2025-11-08T00:00:00Z"/>
        <d v="2025-11-07T00:00:00Z"/>
        <m/>
      </sharedItems>
    </cacheField>
    <cacheField name="PRICE(USD)" numFmtId="0">
      <sharedItems containsString="0" containsBlank="1" containsNumber="1" containsInteger="1">
        <n v="87342.0"/>
        <n v="88271.0"/>
        <n v="88859.0"/>
        <n v="84648.0"/>
        <n v="85091.0"/>
        <n v="86631.0"/>
        <n v="91466.0"/>
        <n v="92949.0"/>
        <n v="92094.0"/>
        <n v="94177.0"/>
        <n v="95549.0"/>
        <n v="94398.0"/>
        <n v="99697.0"/>
        <n v="101663.0"/>
        <n v="102997.0"/>
        <n v="105997.0"/>
        <n v="104720.0"/>
        <n v="102282.0"/>
        <n v="103372.0"/>
        <m/>
      </sharedItems>
    </cacheField>
    <cacheField name="weeknum" numFmtId="0">
      <sharedItems containsString="0" containsBlank="1" containsNumber="1" containsInteger="1">
        <n v="48.0"/>
        <n v="47.0"/>
        <n v="46.0"/>
        <n v="45.0"/>
        <m/>
      </sharedItems>
    </cacheField>
    <cacheField name="open" numFmtId="0">
      <sharedItems containsString="0" containsBlank="1" containsNumber="1" containsInteger="1">
        <n v="88270.0"/>
        <n v="86799.0"/>
        <n v="84649.0"/>
        <n v="85099.0"/>
        <n v="86529.0"/>
        <n v="91459.0"/>
        <n v="92946.0"/>
        <n v="92095.0"/>
        <n v="94181.0"/>
        <n v="95557.0"/>
        <n v="94420.0"/>
        <n v="99695.0"/>
        <n v="101674.0"/>
        <n v="103011.0"/>
        <n v="105997.0"/>
        <n v="104724.0"/>
        <n v="102279.0"/>
        <n v="103372.0"/>
        <n v="101286.0"/>
        <m/>
      </sharedItems>
    </cacheField>
    <cacheField name="volume" numFmtId="0">
      <sharedItems containsString="0" containsBlank="1" containsNumber="1" containsInteger="1">
        <n v="6.4837343545E10"/>
        <n v="7.443389611E10"/>
        <n v="5.8083435576E10"/>
        <n v="4.0793099246E10"/>
        <n v="1.29157506112E11"/>
        <n v="9.7970645638E10"/>
        <n v="8.0350354656E10"/>
        <n v="1.01333569062E11"/>
        <n v="9.4186165724E10"/>
        <n v="7.1086235862E10"/>
        <n v="3.8500716654E10"/>
        <n v="1.1434644189E11"/>
        <n v="1.01546815416E11"/>
        <n v="6.4347179408E10"/>
        <n v="7.1130078574E10"/>
        <n v="6.9585887229E10"/>
        <n v="5.9679243013E10"/>
        <n v="5.1446691095E10"/>
        <n v="9.2168030081E10"/>
        <m/>
      </sharedItems>
    </cacheField>
    <cacheField name="close" numFmtId="0">
      <sharedItems containsString="0" containsBlank="1" containsNumber="1" containsInteger="1">
        <n v="87342.0"/>
        <n v="88271.0"/>
        <n v="88859.0"/>
        <n v="84648.0"/>
        <n v="85091.0"/>
        <n v="86631.0"/>
        <n v="91466.0"/>
        <n v="92949.0"/>
        <n v="92094.0"/>
        <n v="94177.0"/>
        <n v="95549.0"/>
        <n v="94398.0"/>
        <n v="99697.0"/>
        <n v="101663.0"/>
        <n v="102997.0"/>
        <n v="105997.0"/>
        <n v="104720.0"/>
        <n v="102282.0"/>
        <n v="103372.0"/>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2" cacheId="0" dataCaption="" compact="0" compactData="0">
  <location ref="A1:D7" firstHeaderRow="0" firstDataRow="2" firstDataCol="0"/>
  <pivotFields>
    <pivotField name="DATE." compact="0" numFmtId="165" outline="0" multipleItemSelectionAllowed="1" showAll="0">
      <items>
        <item x="0"/>
        <item x="1"/>
        <item x="2"/>
        <item x="3"/>
        <item x="4"/>
        <item x="5"/>
        <item x="6"/>
        <item x="7"/>
        <item x="8"/>
        <item x="9"/>
        <item x="10"/>
        <item x="11"/>
        <item x="12"/>
        <item x="13"/>
        <item x="14"/>
        <item x="15"/>
        <item x="16"/>
        <item x="17"/>
        <item x="18"/>
        <item x="19"/>
        <item t="default"/>
      </items>
    </pivotField>
    <pivotField name="PRICE(USD)"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weeknum" axis="axisRow" compact="0" outline="0" multipleItemSelectionAllowed="1" showAll="0" sortType="ascending">
      <items>
        <item x="4"/>
        <item x="3"/>
        <item x="2"/>
        <item x="1"/>
        <item x="0"/>
        <item t="default"/>
      </items>
    </pivotField>
    <pivotField name="open"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volume"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los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s>
  <rowFields>
    <field x="2"/>
  </rowFields>
  <colFields>
    <field x="-2"/>
  </colFields>
  <dataFields>
    <dataField name="AVERAGE of open" fld="3" subtotal="average" baseField="0"/>
    <dataField name="AVERAGE of volume" fld="4" subtotal="average" baseField="0"/>
    <dataField name="AVERAGE of volume" fld="4"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3.63"/>
  </cols>
  <sheetData>
    <row r="1">
      <c r="A1" s="1" t="s">
        <v>0</v>
      </c>
      <c r="B1" s="2" t="s">
        <v>1</v>
      </c>
    </row>
    <row r="2">
      <c r="A2" s="1">
        <v>43921.0</v>
      </c>
      <c r="B2" s="2">
        <v>6439.0</v>
      </c>
    </row>
    <row r="3">
      <c r="A3" s="1">
        <v>43920.0</v>
      </c>
      <c r="B3" s="2">
        <v>6430.0</v>
      </c>
    </row>
    <row r="4">
      <c r="A4" s="1">
        <v>43919.0</v>
      </c>
      <c r="B4" s="2">
        <v>5922.0</v>
      </c>
    </row>
    <row r="5">
      <c r="A5" s="1">
        <v>43918.0</v>
      </c>
      <c r="B5" s="2">
        <v>6242.0</v>
      </c>
    </row>
    <row r="6">
      <c r="A6" s="1">
        <v>43917.0</v>
      </c>
      <c r="B6" s="2">
        <v>6470.0</v>
      </c>
    </row>
    <row r="7">
      <c r="A7" s="1">
        <v>43916.0</v>
      </c>
      <c r="B7" s="2">
        <v>6716.0</v>
      </c>
    </row>
    <row r="8">
      <c r="A8" s="1">
        <v>43915.0</v>
      </c>
      <c r="B8" s="2">
        <v>6681.0</v>
      </c>
    </row>
    <row r="9">
      <c r="A9" s="1">
        <v>43914.0</v>
      </c>
      <c r="B9" s="2">
        <v>6735.0</v>
      </c>
    </row>
    <row r="10">
      <c r="A10" s="1">
        <v>43913.0</v>
      </c>
      <c r="B10" s="2">
        <v>6416.0</v>
      </c>
    </row>
    <row r="11">
      <c r="A11" s="1"/>
      <c r="B11" s="2"/>
    </row>
    <row r="12">
      <c r="A12" s="1"/>
      <c r="B12" s="2"/>
    </row>
    <row r="13">
      <c r="A13" s="1">
        <v>43912.0</v>
      </c>
      <c r="B13" s="2">
        <v>5830.0</v>
      </c>
    </row>
    <row r="14">
      <c r="A14" s="1">
        <v>43911.0</v>
      </c>
      <c r="B14" s="2">
        <v>6185.0</v>
      </c>
    </row>
    <row r="15">
      <c r="A15" s="1">
        <v>43910.0</v>
      </c>
      <c r="B15" s="2">
        <v>6199.0</v>
      </c>
    </row>
    <row r="16">
      <c r="A16" s="1">
        <v>43909.0</v>
      </c>
      <c r="B16" s="2">
        <v>6191.0</v>
      </c>
    </row>
    <row r="17">
      <c r="A17" s="1">
        <v>43908.0</v>
      </c>
      <c r="B17" s="2">
        <v>5238.0</v>
      </c>
    </row>
    <row r="18">
      <c r="A18" s="1">
        <v>43907.0</v>
      </c>
      <c r="B18" s="2">
        <v>5226.0</v>
      </c>
    </row>
    <row r="19">
      <c r="A19" s="1">
        <v>43906.0</v>
      </c>
      <c r="B19" s="2">
        <v>5014.0</v>
      </c>
    </row>
    <row r="20">
      <c r="A20" s="1">
        <v>43905.0</v>
      </c>
      <c r="B20" s="2">
        <v>5392.0</v>
      </c>
    </row>
    <row r="21">
      <c r="A21" s="1">
        <v>43904.0</v>
      </c>
      <c r="B21" s="2">
        <v>5200.0</v>
      </c>
    </row>
    <row r="22">
      <c r="A22" s="1">
        <v>43903.0</v>
      </c>
      <c r="B22" s="2">
        <v>5564.0</v>
      </c>
    </row>
    <row r="23">
      <c r="A23" s="1">
        <v>43902.0</v>
      </c>
      <c r="B23" s="2">
        <v>4971.0</v>
      </c>
    </row>
    <row r="24">
      <c r="A24" s="1">
        <v>43901.0</v>
      </c>
      <c r="B24" s="2">
        <v>7911.0</v>
      </c>
    </row>
    <row r="25">
      <c r="A25" s="1">
        <v>43900.0</v>
      </c>
      <c r="B25" s="2">
        <v>7910.0</v>
      </c>
    </row>
    <row r="26">
      <c r="A26" s="1">
        <v>43899.0</v>
      </c>
      <c r="B26" s="2">
        <v>7924.0</v>
      </c>
    </row>
    <row r="27">
      <c r="A27" s="1">
        <v>43898.0</v>
      </c>
      <c r="B27" s="2">
        <v>8108.0</v>
      </c>
    </row>
    <row r="28">
      <c r="A28" s="1">
        <v>43897.0</v>
      </c>
      <c r="B28" s="2">
        <v>8910.0</v>
      </c>
    </row>
    <row r="29">
      <c r="A29" s="1">
        <v>43896.0</v>
      </c>
      <c r="B29" s="2">
        <v>9123.0</v>
      </c>
    </row>
    <row r="30">
      <c r="A30" s="1">
        <v>43895.0</v>
      </c>
      <c r="B30" s="2">
        <v>9079.0</v>
      </c>
    </row>
    <row r="31">
      <c r="A31" s="1">
        <v>43894.0</v>
      </c>
      <c r="B31" s="2">
        <v>8755.0</v>
      </c>
    </row>
    <row r="32">
      <c r="A32" s="1">
        <v>43893.0</v>
      </c>
      <c r="B32" s="2">
        <v>8788.0</v>
      </c>
    </row>
    <row r="33">
      <c r="A33" s="1">
        <v>43892.0</v>
      </c>
      <c r="B33" s="2">
        <v>8870.0</v>
      </c>
    </row>
    <row r="34">
      <c r="A34" s="1">
        <v>43891.0</v>
      </c>
      <c r="B34" s="2">
        <v>8562.0</v>
      </c>
    </row>
    <row r="35">
      <c r="A35" s="1">
        <v>43890.0</v>
      </c>
      <c r="B35" s="2">
        <v>8600.0</v>
      </c>
    </row>
    <row r="36">
      <c r="A36" s="1">
        <v>43889.0</v>
      </c>
      <c r="B36" s="2">
        <v>8672.0</v>
      </c>
    </row>
    <row r="37">
      <c r="A37" s="1">
        <v>43888.0</v>
      </c>
      <c r="B37" s="2">
        <v>8784.0</v>
      </c>
    </row>
    <row r="38">
      <c r="A38" s="1">
        <v>43887.0</v>
      </c>
      <c r="B38" s="2">
        <v>8821.0</v>
      </c>
    </row>
    <row r="39">
      <c r="A39" s="1">
        <v>43886.0</v>
      </c>
      <c r="B39" s="2">
        <v>9342.0</v>
      </c>
    </row>
    <row r="40">
      <c r="A40" s="1">
        <v>43885.0</v>
      </c>
      <c r="B40" s="2">
        <v>9650.0</v>
      </c>
    </row>
    <row r="41">
      <c r="A41" s="1">
        <v>43884.0</v>
      </c>
      <c r="B41" s="2">
        <v>9925.0</v>
      </c>
    </row>
    <row r="42">
      <c r="A42" s="1">
        <v>43883.0</v>
      </c>
      <c r="B42" s="2">
        <v>9663.0</v>
      </c>
    </row>
    <row r="43">
      <c r="A43" s="1">
        <v>43882.0</v>
      </c>
      <c r="B43" s="2">
        <v>9686.0</v>
      </c>
    </row>
    <row r="44">
      <c r="A44" s="1">
        <v>43881.0</v>
      </c>
      <c r="B44" s="2">
        <v>9608.0</v>
      </c>
    </row>
    <row r="45">
      <c r="A45" s="1">
        <v>43880.0</v>
      </c>
      <c r="B45" s="2">
        <v>9633.0</v>
      </c>
    </row>
    <row r="46">
      <c r="A46" s="1">
        <v>43879.0</v>
      </c>
      <c r="B46" s="2">
        <v>10142.0</v>
      </c>
    </row>
    <row r="47">
      <c r="A47" s="1">
        <v>43878.0</v>
      </c>
      <c r="B47" s="2">
        <v>9690.0</v>
      </c>
    </row>
    <row r="48">
      <c r="A48" s="1">
        <v>43877.0</v>
      </c>
      <c r="B48" s="2">
        <v>9934.0</v>
      </c>
    </row>
    <row r="49">
      <c r="A49" s="1">
        <v>43876.0</v>
      </c>
      <c r="B49" s="2">
        <v>9889.0</v>
      </c>
    </row>
    <row r="50">
      <c r="A50" s="1">
        <v>43875.0</v>
      </c>
      <c r="B50" s="2">
        <v>10312.0</v>
      </c>
    </row>
    <row r="51">
      <c r="A51" s="1">
        <v>43874.0</v>
      </c>
      <c r="B51" s="2">
        <v>10214.0</v>
      </c>
    </row>
    <row r="52">
      <c r="A52" s="1">
        <v>43873.0</v>
      </c>
      <c r="B52" s="2">
        <v>10326.0</v>
      </c>
    </row>
    <row r="53">
      <c r="A53" s="1">
        <v>43872.0</v>
      </c>
      <c r="B53" s="2">
        <v>10208.0</v>
      </c>
    </row>
    <row r="54">
      <c r="A54" s="1">
        <v>43871.0</v>
      </c>
      <c r="B54" s="2">
        <v>9857.0</v>
      </c>
    </row>
    <row r="55">
      <c r="A55" s="1">
        <v>43870.0</v>
      </c>
      <c r="B55" s="2">
        <v>10117.0</v>
      </c>
    </row>
    <row r="56">
      <c r="A56" s="1">
        <v>43869.0</v>
      </c>
      <c r="B56" s="2">
        <v>9865.0</v>
      </c>
    </row>
    <row r="57">
      <c r="A57" s="1">
        <v>43868.0</v>
      </c>
      <c r="B57" s="2">
        <v>9796.0</v>
      </c>
    </row>
    <row r="58">
      <c r="A58" s="1">
        <v>43867.0</v>
      </c>
      <c r="B58" s="2">
        <v>9730.0</v>
      </c>
    </row>
    <row r="59">
      <c r="A59" s="1">
        <v>43866.0</v>
      </c>
      <c r="B59" s="2">
        <v>9613.0</v>
      </c>
    </row>
    <row r="60">
      <c r="A60" s="1">
        <v>43865.0</v>
      </c>
      <c r="B60" s="2">
        <v>9181.0</v>
      </c>
    </row>
    <row r="61">
      <c r="A61" s="1">
        <v>43864.0</v>
      </c>
      <c r="B61" s="2">
        <v>9294.0</v>
      </c>
    </row>
    <row r="62">
      <c r="A62" s="1">
        <v>43863.0</v>
      </c>
      <c r="B62" s="2">
        <v>9344.0</v>
      </c>
    </row>
    <row r="63">
      <c r="A63" s="1">
        <v>43862.0</v>
      </c>
      <c r="B63" s="2">
        <v>9393.0</v>
      </c>
    </row>
    <row r="64">
      <c r="A64" s="1">
        <v>43861.0</v>
      </c>
      <c r="B64" s="2">
        <v>9351.0</v>
      </c>
    </row>
    <row r="65">
      <c r="A65" s="1">
        <v>43860.0</v>
      </c>
      <c r="B65" s="2">
        <v>9509.0</v>
      </c>
    </row>
    <row r="66">
      <c r="A66" s="1">
        <v>43859.0</v>
      </c>
      <c r="B66" s="2">
        <v>9317.0</v>
      </c>
    </row>
    <row r="67">
      <c r="A67" s="1">
        <v>43858.0</v>
      </c>
      <c r="B67" s="2">
        <v>9359.0</v>
      </c>
    </row>
    <row r="68">
      <c r="A68" s="1">
        <v>43857.0</v>
      </c>
      <c r="B68" s="2">
        <v>8910.0</v>
      </c>
    </row>
    <row r="69">
      <c r="A69" s="1">
        <v>43856.0</v>
      </c>
      <c r="B69" s="2">
        <v>8597.0</v>
      </c>
    </row>
    <row r="70">
      <c r="A70" s="1">
        <v>43855.0</v>
      </c>
      <c r="B70" s="2">
        <v>8368.0</v>
      </c>
    </row>
    <row r="71">
      <c r="A71" s="1">
        <v>43854.0</v>
      </c>
      <c r="B71" s="2">
        <v>8445.0</v>
      </c>
    </row>
    <row r="72">
      <c r="A72" s="1">
        <v>43853.0</v>
      </c>
      <c r="B72" s="2">
        <v>8407.0</v>
      </c>
    </row>
    <row r="73">
      <c r="A73" s="1">
        <v>43852.0</v>
      </c>
      <c r="B73" s="2">
        <v>8681.0</v>
      </c>
    </row>
    <row r="74">
      <c r="A74" s="1">
        <v>43851.0</v>
      </c>
      <c r="B74" s="2">
        <v>8746.0</v>
      </c>
    </row>
    <row r="75">
      <c r="A75" s="1">
        <v>43850.0</v>
      </c>
      <c r="B75" s="2">
        <v>8658.0</v>
      </c>
    </row>
    <row r="76">
      <c r="A76" s="1">
        <v>43849.0</v>
      </c>
      <c r="B76" s="2">
        <v>8706.0</v>
      </c>
    </row>
    <row r="77">
      <c r="A77" s="1">
        <v>43848.0</v>
      </c>
      <c r="B77" s="2">
        <v>8943.0</v>
      </c>
    </row>
    <row r="78">
      <c r="A78" s="1">
        <v>43847.0</v>
      </c>
      <c r="B78" s="2">
        <v>8929.0</v>
      </c>
    </row>
    <row r="79">
      <c r="A79" s="1">
        <v>43846.0</v>
      </c>
      <c r="B79" s="2">
        <v>8724.0</v>
      </c>
    </row>
    <row r="80">
      <c r="A80" s="1">
        <v>43845.0</v>
      </c>
      <c r="B80" s="2">
        <v>8807.0</v>
      </c>
    </row>
    <row r="81">
      <c r="A81" s="1">
        <v>43844.0</v>
      </c>
      <c r="B81" s="2">
        <v>8828.0</v>
      </c>
    </row>
    <row r="82">
      <c r="A82" s="1">
        <v>43843.0</v>
      </c>
      <c r="B82" s="2">
        <v>8144.0</v>
      </c>
    </row>
    <row r="83">
      <c r="A83" s="1">
        <v>43842.0</v>
      </c>
      <c r="B83" s="2">
        <v>8192.0</v>
      </c>
    </row>
    <row r="84">
      <c r="A84" s="1">
        <v>43841.0</v>
      </c>
      <c r="B84" s="2">
        <v>8038.0</v>
      </c>
    </row>
    <row r="85">
      <c r="A85" s="1">
        <v>43840.0</v>
      </c>
      <c r="B85" s="2">
        <v>8167.0</v>
      </c>
    </row>
    <row r="86">
      <c r="A86" s="1">
        <v>43839.0</v>
      </c>
      <c r="B86" s="2">
        <v>7879.0</v>
      </c>
    </row>
    <row r="87">
      <c r="A87" s="1">
        <v>43838.0</v>
      </c>
      <c r="B87" s="2">
        <v>8080.0</v>
      </c>
    </row>
    <row r="88">
      <c r="A88" s="1">
        <v>43837.0</v>
      </c>
      <c r="B88" s="2">
        <v>8164.0</v>
      </c>
    </row>
    <row r="89">
      <c r="A89" s="1">
        <v>43836.0</v>
      </c>
      <c r="B89" s="2">
        <v>7769.0</v>
      </c>
    </row>
    <row r="90">
      <c r="A90" s="1">
        <v>43835.0</v>
      </c>
      <c r="B90" s="2">
        <v>7411.0</v>
      </c>
    </row>
    <row r="91">
      <c r="A91" s="1">
        <v>43834.0</v>
      </c>
      <c r="B91" s="2">
        <v>7411.0</v>
      </c>
    </row>
    <row r="92">
      <c r="A92" s="1">
        <v>43833.0</v>
      </c>
      <c r="B92" s="2">
        <v>7345.0</v>
      </c>
    </row>
    <row r="93">
      <c r="A93" s="1">
        <v>43832.0</v>
      </c>
      <c r="B93" s="2">
        <v>6985.0</v>
      </c>
    </row>
    <row r="94">
      <c r="A94" s="1">
        <v>43831.0</v>
      </c>
      <c r="B94" s="2">
        <v>7200.0</v>
      </c>
    </row>
    <row r="95">
      <c r="A95" s="1">
        <v>43830.0</v>
      </c>
      <c r="B95" s="2">
        <v>7194.0</v>
      </c>
    </row>
    <row r="96">
      <c r="A96" s="1">
        <v>43829.0</v>
      </c>
      <c r="B96" s="2">
        <v>7293.0</v>
      </c>
    </row>
    <row r="97">
      <c r="A97" s="1">
        <v>43828.0</v>
      </c>
      <c r="B97" s="2">
        <v>7423.0</v>
      </c>
    </row>
    <row r="98">
      <c r="A98" s="1">
        <v>43827.0</v>
      </c>
      <c r="B98" s="2">
        <v>7318.0</v>
      </c>
    </row>
    <row r="99">
      <c r="A99" s="1">
        <v>43826.0</v>
      </c>
      <c r="B99" s="2">
        <v>7290.0</v>
      </c>
    </row>
    <row r="100">
      <c r="A100" s="1">
        <v>43825.0</v>
      </c>
      <c r="B100" s="2">
        <v>7239.0</v>
      </c>
    </row>
    <row r="101">
      <c r="A101" s="1">
        <v>43824.0</v>
      </c>
      <c r="B101" s="2">
        <v>7275.0</v>
      </c>
    </row>
    <row r="102">
      <c r="A102" s="1">
        <v>43823.0</v>
      </c>
      <c r="B102" s="2">
        <v>7323.0</v>
      </c>
    </row>
    <row r="103">
      <c r="A103" s="1">
        <v>43822.0</v>
      </c>
      <c r="B103" s="2">
        <v>7356.0</v>
      </c>
    </row>
    <row r="104">
      <c r="A104" s="1">
        <v>43821.0</v>
      </c>
      <c r="B104" s="2">
        <v>7512.0</v>
      </c>
    </row>
    <row r="105">
      <c r="A105" s="1">
        <v>43820.0</v>
      </c>
      <c r="B105" s="2">
        <v>7191.0</v>
      </c>
    </row>
    <row r="106">
      <c r="A106" s="1">
        <v>43819.0</v>
      </c>
      <c r="B106" s="2">
        <v>7219.0</v>
      </c>
    </row>
    <row r="107">
      <c r="A107" s="1">
        <v>43818.0</v>
      </c>
      <c r="B107" s="2">
        <v>7203.0</v>
      </c>
    </row>
    <row r="108">
      <c r="A108" s="1">
        <v>43817.0</v>
      </c>
      <c r="B108" s="2">
        <v>7277.0</v>
      </c>
    </row>
    <row r="109">
      <c r="A109" s="1">
        <v>43816.0</v>
      </c>
      <c r="B109" s="2">
        <v>6641.0</v>
      </c>
    </row>
    <row r="110">
      <c r="A110" s="1">
        <v>43815.0</v>
      </c>
      <c r="B110" s="2">
        <v>6932.0</v>
      </c>
    </row>
    <row r="111">
      <c r="A111" s="1">
        <v>43814.0</v>
      </c>
      <c r="B111" s="2">
        <v>7152.0</v>
      </c>
    </row>
    <row r="112">
      <c r="A112" s="1">
        <v>43813.0</v>
      </c>
      <c r="B112" s="2">
        <v>7125.0</v>
      </c>
    </row>
    <row r="113">
      <c r="A113" s="1">
        <v>43812.0</v>
      </c>
      <c r="B113" s="2">
        <v>7270.0</v>
      </c>
    </row>
    <row r="114">
      <c r="A114" s="1">
        <v>43811.0</v>
      </c>
      <c r="B114" s="2">
        <v>7243.0</v>
      </c>
    </row>
    <row r="115">
      <c r="A115" s="1">
        <v>43810.0</v>
      </c>
      <c r="B115" s="2">
        <v>7217.0</v>
      </c>
    </row>
    <row r="116">
      <c r="A116" s="1">
        <v>43809.0</v>
      </c>
      <c r="B116" s="2">
        <v>7278.0</v>
      </c>
    </row>
    <row r="117">
      <c r="A117" s="1">
        <v>43808.0</v>
      </c>
      <c r="B117" s="2">
        <v>7401.0</v>
      </c>
    </row>
    <row r="118">
      <c r="A118" s="1">
        <v>43807.0</v>
      </c>
      <c r="B118" s="2">
        <v>7564.0</v>
      </c>
    </row>
    <row r="119">
      <c r="A119" s="1">
        <v>43806.0</v>
      </c>
      <c r="B119" s="2">
        <v>7556.0</v>
      </c>
    </row>
    <row r="120">
      <c r="A120" s="1">
        <v>43805.0</v>
      </c>
      <c r="B120" s="2">
        <v>7547.0</v>
      </c>
    </row>
    <row r="121">
      <c r="A121" s="1">
        <v>43804.0</v>
      </c>
      <c r="B121" s="2">
        <v>7448.0</v>
      </c>
    </row>
    <row r="122">
      <c r="A122" s="1">
        <v>43803.0</v>
      </c>
      <c r="B122" s="2">
        <v>7252.0</v>
      </c>
    </row>
    <row r="123">
      <c r="A123" s="1">
        <v>43802.0</v>
      </c>
      <c r="B123" s="2">
        <v>7320.0</v>
      </c>
    </row>
    <row r="124">
      <c r="A124" s="1">
        <v>43801.0</v>
      </c>
      <c r="B124" s="2">
        <v>7322.0</v>
      </c>
    </row>
    <row r="125">
      <c r="A125" s="1">
        <v>43800.0</v>
      </c>
      <c r="B125" s="2">
        <v>7424.0</v>
      </c>
    </row>
    <row r="126">
      <c r="A126" s="1">
        <v>43799.0</v>
      </c>
      <c r="B126" s="2">
        <v>7570.0</v>
      </c>
    </row>
    <row r="127">
      <c r="A127" s="1">
        <v>43798.0</v>
      </c>
      <c r="B127" s="2">
        <v>7761.0</v>
      </c>
    </row>
    <row r="128">
      <c r="A128" s="1">
        <v>43797.0</v>
      </c>
      <c r="B128" s="2">
        <v>7463.0</v>
      </c>
    </row>
    <row r="129">
      <c r="A129" s="1">
        <v>43796.0</v>
      </c>
      <c r="B129" s="2">
        <v>7532.0</v>
      </c>
    </row>
    <row r="130">
      <c r="A130" s="1">
        <v>43795.0</v>
      </c>
      <c r="B130" s="2">
        <v>7218.0</v>
      </c>
    </row>
    <row r="131">
      <c r="A131" s="1">
        <v>43794.0</v>
      </c>
      <c r="B131" s="2">
        <v>7146.0</v>
      </c>
    </row>
    <row r="132">
      <c r="A132" s="1">
        <v>43793.0</v>
      </c>
      <c r="B132" s="2">
        <v>7048.0</v>
      </c>
    </row>
    <row r="133">
      <c r="A133" s="1">
        <v>43792.0</v>
      </c>
      <c r="B133" s="2">
        <v>7398.0</v>
      </c>
    </row>
    <row r="134">
      <c r="A134" s="1">
        <v>43791.0</v>
      </c>
      <c r="B134" s="2">
        <v>7297.0</v>
      </c>
    </row>
    <row r="135">
      <c r="A135" s="1">
        <v>43790.0</v>
      </c>
      <c r="B135" s="2">
        <v>7643.0</v>
      </c>
    </row>
    <row r="136">
      <c r="A136" s="1">
        <v>43789.0</v>
      </c>
      <c r="B136" s="2">
        <v>8027.0</v>
      </c>
    </row>
    <row r="137">
      <c r="A137" s="1">
        <v>43788.0</v>
      </c>
      <c r="B137" s="2">
        <v>8206.0</v>
      </c>
    </row>
    <row r="138">
      <c r="A138" s="1">
        <v>43787.0</v>
      </c>
      <c r="B138" s="2">
        <v>8309.0</v>
      </c>
    </row>
    <row r="139">
      <c r="A139" s="1">
        <v>43786.0</v>
      </c>
      <c r="B139" s="2">
        <v>8578.0</v>
      </c>
    </row>
    <row r="140">
      <c r="A140" s="1">
        <v>43785.0</v>
      </c>
      <c r="B140" s="2">
        <v>8551.0</v>
      </c>
    </row>
    <row r="141">
      <c r="A141" s="1">
        <v>43784.0</v>
      </c>
      <c r="B141" s="2">
        <v>8492.0</v>
      </c>
    </row>
    <row r="142">
      <c r="A142" s="1">
        <v>43783.0</v>
      </c>
      <c r="B142" s="2">
        <v>8708.0</v>
      </c>
    </row>
    <row r="143">
      <c r="A143" s="1">
        <v>43782.0</v>
      </c>
      <c r="B143" s="2">
        <v>8808.0</v>
      </c>
    </row>
    <row r="144">
      <c r="A144" s="1">
        <v>43781.0</v>
      </c>
      <c r="B144" s="2">
        <v>8816.0</v>
      </c>
    </row>
    <row r="145">
      <c r="A145" s="1">
        <v>43780.0</v>
      </c>
      <c r="B145" s="2">
        <v>8758.0</v>
      </c>
    </row>
    <row r="146">
      <c r="A146" s="1">
        <v>43779.0</v>
      </c>
      <c r="B146" s="2">
        <v>9056.0</v>
      </c>
    </row>
    <row r="147">
      <c r="A147" s="1">
        <v>43778.0</v>
      </c>
      <c r="B147" s="2">
        <v>8814.0</v>
      </c>
    </row>
    <row r="148">
      <c r="A148" s="1">
        <v>43777.0</v>
      </c>
      <c r="B148" s="2">
        <v>8805.0</v>
      </c>
    </row>
    <row r="149">
      <c r="A149" s="1">
        <v>43776.0</v>
      </c>
      <c r="B149" s="2">
        <v>9268.0</v>
      </c>
    </row>
    <row r="150">
      <c r="A150" s="1">
        <v>43775.0</v>
      </c>
      <c r="B150" s="2">
        <v>9361.0</v>
      </c>
    </row>
    <row r="151">
      <c r="A151" s="1">
        <v>43774.0</v>
      </c>
      <c r="B151" s="2">
        <v>9343.0</v>
      </c>
    </row>
    <row r="152">
      <c r="A152" s="1">
        <v>43773.0</v>
      </c>
      <c r="B152" s="2">
        <v>9413.0</v>
      </c>
    </row>
    <row r="153">
      <c r="A153" s="1">
        <v>43772.0</v>
      </c>
      <c r="B153" s="2">
        <v>9235.0</v>
      </c>
    </row>
    <row r="154">
      <c r="A154" s="1">
        <v>43771.0</v>
      </c>
      <c r="B154" s="2">
        <v>9325.0</v>
      </c>
    </row>
    <row r="155">
      <c r="A155" s="1">
        <v>43770.0</v>
      </c>
      <c r="B155" s="2">
        <v>9261.0</v>
      </c>
    </row>
    <row r="156">
      <c r="A156" s="1">
        <v>43769.0</v>
      </c>
      <c r="B156" s="2">
        <v>9200.0</v>
      </c>
    </row>
    <row r="157">
      <c r="A157" s="1">
        <v>43768.0</v>
      </c>
      <c r="B157" s="2">
        <v>9206.0</v>
      </c>
    </row>
    <row r="158">
      <c r="A158" s="1">
        <v>43767.0</v>
      </c>
      <c r="B158" s="2">
        <v>9428.0</v>
      </c>
    </row>
    <row r="159">
      <c r="A159" s="1">
        <v>43766.0</v>
      </c>
      <c r="B159" s="2">
        <v>9256.0</v>
      </c>
    </row>
    <row r="160">
      <c r="A160" s="1">
        <v>43765.0</v>
      </c>
      <c r="B160" s="2">
        <v>9552.0</v>
      </c>
    </row>
    <row r="161">
      <c r="A161" s="1">
        <v>43764.0</v>
      </c>
      <c r="B161" s="2">
        <v>9245.0</v>
      </c>
    </row>
    <row r="162">
      <c r="A162" s="1">
        <v>43763.0</v>
      </c>
      <c r="B162" s="2">
        <v>8661.0</v>
      </c>
    </row>
    <row r="163">
      <c r="A163" s="1">
        <v>43762.0</v>
      </c>
      <c r="B163" s="2">
        <v>7493.0</v>
      </c>
    </row>
    <row r="164">
      <c r="A164" s="1">
        <v>43761.0</v>
      </c>
      <c r="B164" s="2">
        <v>7515.0</v>
      </c>
    </row>
    <row r="165">
      <c r="A165" s="1">
        <v>43760.0</v>
      </c>
      <c r="B165" s="2">
        <v>8078.0</v>
      </c>
    </row>
    <row r="166">
      <c r="A166" s="1">
        <v>43759.0</v>
      </c>
      <c r="B166" s="2">
        <v>8244.0</v>
      </c>
    </row>
    <row r="167">
      <c r="A167" s="1">
        <v>43758.0</v>
      </c>
      <c r="B167" s="2">
        <v>8222.0</v>
      </c>
    </row>
    <row r="168">
      <c r="A168" s="1">
        <v>43757.0</v>
      </c>
      <c r="B168" s="2">
        <v>7989.0</v>
      </c>
    </row>
    <row r="169">
      <c r="A169" s="1">
        <v>43756.0</v>
      </c>
      <c r="B169" s="2">
        <v>7973.0</v>
      </c>
    </row>
    <row r="170">
      <c r="A170" s="1">
        <v>43755.0</v>
      </c>
      <c r="B170" s="2">
        <v>8104.0</v>
      </c>
    </row>
    <row r="171">
      <c r="A171" s="1">
        <v>43754.0</v>
      </c>
      <c r="B171" s="2">
        <v>8048.0</v>
      </c>
    </row>
    <row r="172">
      <c r="A172" s="1">
        <v>43753.0</v>
      </c>
      <c r="B172" s="2">
        <v>8205.0</v>
      </c>
    </row>
    <row r="173">
      <c r="A173" s="1">
        <v>43752.0</v>
      </c>
      <c r="B173" s="2">
        <v>8375.0</v>
      </c>
    </row>
    <row r="174">
      <c r="A174" s="1">
        <v>43751.0</v>
      </c>
      <c r="B174" s="2">
        <v>8321.0</v>
      </c>
    </row>
    <row r="175">
      <c r="A175" s="1">
        <v>43750.0</v>
      </c>
      <c r="B175" s="2">
        <v>8337.0</v>
      </c>
    </row>
    <row r="176">
      <c r="A176" s="1">
        <v>43749.0</v>
      </c>
      <c r="B176" s="2">
        <v>8322.0</v>
      </c>
    </row>
    <row r="177">
      <c r="A177" s="1">
        <v>43748.0</v>
      </c>
      <c r="B177" s="2">
        <v>8586.0</v>
      </c>
    </row>
    <row r="178">
      <c r="A178" s="1">
        <v>43747.0</v>
      </c>
      <c r="B178" s="2">
        <v>8596.0</v>
      </c>
    </row>
    <row r="179">
      <c r="A179" s="1">
        <v>43746.0</v>
      </c>
      <c r="B179" s="2">
        <v>8229.0</v>
      </c>
    </row>
    <row r="180">
      <c r="A180" s="1">
        <v>43745.0</v>
      </c>
      <c r="B180" s="2">
        <v>8246.0</v>
      </c>
    </row>
    <row r="181">
      <c r="A181" s="1">
        <v>43744.0</v>
      </c>
      <c r="B181" s="2">
        <v>7988.0</v>
      </c>
    </row>
    <row r="182">
      <c r="A182" s="1">
        <v>43743.0</v>
      </c>
      <c r="B182" s="2">
        <v>8152.0</v>
      </c>
    </row>
    <row r="183">
      <c r="A183" s="1">
        <v>43742.0</v>
      </c>
      <c r="B183" s="2">
        <v>8206.0</v>
      </c>
    </row>
    <row r="184">
      <c r="A184" s="1">
        <v>43741.0</v>
      </c>
      <c r="B184" s="2">
        <v>8260.0</v>
      </c>
    </row>
    <row r="185">
      <c r="A185" s="1">
        <v>43740.0</v>
      </c>
      <c r="B185" s="2">
        <v>8393.0</v>
      </c>
    </row>
    <row r="186">
      <c r="A186" s="1">
        <v>43739.0</v>
      </c>
      <c r="B186" s="2">
        <v>8343.0</v>
      </c>
    </row>
    <row r="187">
      <c r="A187" s="1">
        <v>43738.0</v>
      </c>
      <c r="B187" s="2">
        <v>8294.0</v>
      </c>
    </row>
    <row r="188">
      <c r="A188" s="1">
        <v>43737.0</v>
      </c>
      <c r="B188" s="2">
        <v>8104.0</v>
      </c>
    </row>
    <row r="189">
      <c r="A189" s="1">
        <v>43736.0</v>
      </c>
      <c r="B189" s="2">
        <v>8246.0</v>
      </c>
    </row>
    <row r="190">
      <c r="A190" s="1">
        <v>43735.0</v>
      </c>
      <c r="B190" s="2">
        <v>8252.0</v>
      </c>
    </row>
    <row r="191">
      <c r="A191" s="1">
        <v>43734.0</v>
      </c>
      <c r="B191" s="2">
        <v>8119.0</v>
      </c>
    </row>
    <row r="192">
      <c r="A192" s="1">
        <v>43733.0</v>
      </c>
      <c r="B192" s="2">
        <v>8487.0</v>
      </c>
    </row>
    <row r="193">
      <c r="A193" s="1">
        <v>43732.0</v>
      </c>
      <c r="B193" s="2">
        <v>8621.0</v>
      </c>
    </row>
    <row r="194">
      <c r="A194" s="1">
        <v>43731.0</v>
      </c>
      <c r="B194" s="2">
        <v>9729.0</v>
      </c>
    </row>
    <row r="195">
      <c r="A195" s="1">
        <v>43730.0</v>
      </c>
      <c r="B195" s="2">
        <v>10070.0</v>
      </c>
    </row>
    <row r="196">
      <c r="A196" s="1">
        <v>43729.0</v>
      </c>
      <c r="B196" s="2">
        <v>10020.0</v>
      </c>
    </row>
    <row r="197">
      <c r="A197" s="1">
        <v>43728.0</v>
      </c>
      <c r="B197" s="2">
        <v>10182.0</v>
      </c>
    </row>
    <row r="198">
      <c r="A198" s="1">
        <v>43727.0</v>
      </c>
      <c r="B198" s="2">
        <v>10266.0</v>
      </c>
    </row>
    <row r="199">
      <c r="A199" s="1">
        <v>43726.0</v>
      </c>
      <c r="B199" s="2">
        <v>10198.0</v>
      </c>
    </row>
    <row r="200">
      <c r="A200" s="1">
        <v>43725.0</v>
      </c>
      <c r="B200" s="2">
        <v>10241.0</v>
      </c>
    </row>
    <row r="201">
      <c r="A201" s="1">
        <v>43724.0</v>
      </c>
      <c r="B201" s="2">
        <v>10277.0</v>
      </c>
    </row>
    <row r="202">
      <c r="A202" s="1">
        <v>43723.0</v>
      </c>
      <c r="B202" s="2">
        <v>10348.0</v>
      </c>
    </row>
    <row r="203">
      <c r="A203" s="1">
        <v>43722.0</v>
      </c>
      <c r="B203" s="2">
        <v>10358.0</v>
      </c>
    </row>
    <row r="204">
      <c r="A204" s="1">
        <v>43721.0</v>
      </c>
      <c r="B204" s="2">
        <v>10361.0</v>
      </c>
    </row>
    <row r="205">
      <c r="A205" s="1">
        <v>43720.0</v>
      </c>
      <c r="B205" s="2">
        <v>10410.0</v>
      </c>
    </row>
    <row r="206">
      <c r="A206" s="1">
        <v>43719.0</v>
      </c>
      <c r="B206" s="2">
        <v>10178.0</v>
      </c>
    </row>
    <row r="207">
      <c r="A207" s="1">
        <v>43718.0</v>
      </c>
      <c r="B207" s="2">
        <v>10116.0</v>
      </c>
    </row>
    <row r="208">
      <c r="A208" s="1">
        <v>43717.0</v>
      </c>
      <c r="B208" s="2">
        <v>10335.0</v>
      </c>
    </row>
    <row r="209">
      <c r="A209" s="1">
        <v>43716.0</v>
      </c>
      <c r="B209" s="2">
        <v>10441.0</v>
      </c>
    </row>
    <row r="210">
      <c r="A210" s="1">
        <v>43715.0</v>
      </c>
      <c r="B210" s="2">
        <v>10517.0</v>
      </c>
    </row>
    <row r="211">
      <c r="A211" s="1">
        <v>43714.0</v>
      </c>
      <c r="B211" s="2">
        <v>10353.0</v>
      </c>
    </row>
    <row r="212">
      <c r="A212" s="1">
        <v>43713.0</v>
      </c>
      <c r="B212" s="2">
        <v>10576.0</v>
      </c>
    </row>
    <row r="213">
      <c r="A213" s="1">
        <v>43712.0</v>
      </c>
      <c r="B213" s="2">
        <v>10594.0</v>
      </c>
    </row>
    <row r="214">
      <c r="A214" s="1">
        <v>43711.0</v>
      </c>
      <c r="B214" s="2">
        <v>10624.0</v>
      </c>
    </row>
    <row r="215">
      <c r="A215" s="1">
        <v>43710.0</v>
      </c>
      <c r="B215" s="2">
        <v>10347.0</v>
      </c>
    </row>
    <row r="216">
      <c r="A216" s="1">
        <v>43709.0</v>
      </c>
      <c r="B216" s="2">
        <v>9758.0</v>
      </c>
    </row>
    <row r="217">
      <c r="A217" s="1">
        <v>43708.0</v>
      </c>
      <c r="B217" s="2">
        <v>9631.0</v>
      </c>
    </row>
    <row r="218">
      <c r="A218" s="1">
        <v>43707.0</v>
      </c>
      <c r="B218" s="2">
        <v>9598.0</v>
      </c>
    </row>
    <row r="219">
      <c r="A219" s="1">
        <v>43706.0</v>
      </c>
      <c r="B219" s="2">
        <v>9510.0</v>
      </c>
    </row>
    <row r="220">
      <c r="A220" s="1">
        <v>43705.0</v>
      </c>
      <c r="B220" s="2">
        <v>9754.0</v>
      </c>
    </row>
    <row r="221">
      <c r="A221" s="1">
        <v>43704.0</v>
      </c>
      <c r="B221" s="2">
        <v>10185.0</v>
      </c>
    </row>
    <row r="222">
      <c r="A222" s="1">
        <v>43703.0</v>
      </c>
      <c r="B222" s="2">
        <v>10371.0</v>
      </c>
    </row>
    <row r="223">
      <c r="A223" s="1">
        <v>43702.0</v>
      </c>
      <c r="B223" s="2">
        <v>10139.0</v>
      </c>
    </row>
    <row r="224">
      <c r="A224" s="1">
        <v>43701.0</v>
      </c>
      <c r="B224" s="2">
        <v>10160.0</v>
      </c>
    </row>
    <row r="225">
      <c r="A225" s="1">
        <v>43700.0</v>
      </c>
      <c r="B225" s="2">
        <v>10408.0</v>
      </c>
    </row>
    <row r="226">
      <c r="A226" s="1">
        <v>43699.0</v>
      </c>
      <c r="B226" s="2">
        <v>10131.0</v>
      </c>
    </row>
    <row r="227">
      <c r="A227" s="1">
        <v>43698.0</v>
      </c>
      <c r="B227" s="2">
        <v>10138.0</v>
      </c>
    </row>
    <row r="228">
      <c r="A228" s="1">
        <v>43697.0</v>
      </c>
      <c r="B228" s="2">
        <v>10763.0</v>
      </c>
    </row>
    <row r="229">
      <c r="A229" s="1">
        <v>43696.0</v>
      </c>
      <c r="B229" s="2">
        <v>10916.0</v>
      </c>
    </row>
    <row r="230">
      <c r="A230" s="1">
        <v>43695.0</v>
      </c>
      <c r="B230" s="2">
        <v>10346.0</v>
      </c>
    </row>
    <row r="231">
      <c r="A231" s="1">
        <v>43694.0</v>
      </c>
      <c r="B231" s="2">
        <v>10232.0</v>
      </c>
    </row>
    <row r="232">
      <c r="A232" s="1">
        <v>43693.0</v>
      </c>
      <c r="B232" s="2">
        <v>10374.0</v>
      </c>
    </row>
    <row r="233">
      <c r="A233" s="1">
        <v>43692.0</v>
      </c>
      <c r="B233" s="2">
        <v>10312.0</v>
      </c>
    </row>
    <row r="234">
      <c r="A234" s="1">
        <v>43691.0</v>
      </c>
      <c r="B234" s="2">
        <v>10052.0</v>
      </c>
    </row>
    <row r="235">
      <c r="A235" s="1">
        <v>43690.0</v>
      </c>
      <c r="B235" s="2">
        <v>10896.0</v>
      </c>
    </row>
    <row r="236">
      <c r="A236" s="1">
        <v>43689.0</v>
      </c>
      <c r="B236" s="2">
        <v>11383.0</v>
      </c>
    </row>
    <row r="237">
      <c r="A237" s="1">
        <v>43688.0</v>
      </c>
      <c r="B237" s="2">
        <v>11524.0</v>
      </c>
    </row>
    <row r="238">
      <c r="A238" s="1">
        <v>43687.0</v>
      </c>
      <c r="B238" s="2">
        <v>11354.0</v>
      </c>
    </row>
    <row r="239">
      <c r="A239" s="1">
        <v>43686.0</v>
      </c>
      <c r="B239" s="2">
        <v>11863.0</v>
      </c>
    </row>
    <row r="240">
      <c r="A240" s="1">
        <v>43685.0</v>
      </c>
      <c r="B240" s="2">
        <v>11966.0</v>
      </c>
    </row>
    <row r="241">
      <c r="A241" s="1">
        <v>43684.0</v>
      </c>
      <c r="B241" s="2">
        <v>11942.0</v>
      </c>
    </row>
    <row r="242">
      <c r="A242" s="1">
        <v>43683.0</v>
      </c>
      <c r="B242" s="2">
        <v>11478.0</v>
      </c>
    </row>
    <row r="243">
      <c r="A243" s="1">
        <v>43682.0</v>
      </c>
      <c r="B243" s="2">
        <v>11806.0</v>
      </c>
    </row>
    <row r="244">
      <c r="A244" s="1">
        <v>43681.0</v>
      </c>
      <c r="B244" s="2">
        <v>10970.0</v>
      </c>
    </row>
    <row r="245">
      <c r="A245" s="1">
        <v>43680.0</v>
      </c>
      <c r="B245" s="2">
        <v>10822.0</v>
      </c>
    </row>
    <row r="246">
      <c r="A246" s="1">
        <v>43679.0</v>
      </c>
      <c r="B246" s="2">
        <v>10518.0</v>
      </c>
    </row>
    <row r="247">
      <c r="A247" s="1">
        <v>43678.0</v>
      </c>
      <c r="B247" s="2">
        <v>10400.0</v>
      </c>
    </row>
    <row r="248">
      <c r="A248" s="1">
        <v>43677.0</v>
      </c>
      <c r="B248" s="2">
        <v>10086.0</v>
      </c>
    </row>
    <row r="249">
      <c r="A249" s="1">
        <v>43676.0</v>
      </c>
      <c r="B249" s="2">
        <v>9607.0</v>
      </c>
    </row>
    <row r="250">
      <c r="A250" s="1">
        <v>43675.0</v>
      </c>
      <c r="B250" s="2">
        <v>9519.0</v>
      </c>
    </row>
    <row r="251">
      <c r="A251" s="1">
        <v>43674.0</v>
      </c>
      <c r="B251" s="2">
        <v>9553.0</v>
      </c>
    </row>
    <row r="252">
      <c r="A252" s="1">
        <v>43673.0</v>
      </c>
      <c r="B252" s="2">
        <v>9478.0</v>
      </c>
    </row>
    <row r="253">
      <c r="A253" s="1">
        <v>43672.0</v>
      </c>
      <c r="B253" s="2">
        <v>9870.0</v>
      </c>
    </row>
    <row r="254">
      <c r="A254" s="1">
        <v>43671.0</v>
      </c>
      <c r="B254" s="2">
        <v>9912.0</v>
      </c>
    </row>
    <row r="255">
      <c r="A255" s="1">
        <v>43670.0</v>
      </c>
      <c r="B255" s="2">
        <v>9812.0</v>
      </c>
    </row>
    <row r="256">
      <c r="A256" s="1">
        <v>43669.0</v>
      </c>
      <c r="B256" s="2">
        <v>9901.0</v>
      </c>
    </row>
    <row r="257">
      <c r="A257" s="1">
        <v>43668.0</v>
      </c>
      <c r="B257" s="2">
        <v>10343.0</v>
      </c>
    </row>
    <row r="258">
      <c r="A258" s="1">
        <v>43667.0</v>
      </c>
      <c r="B258" s="2">
        <v>10599.0</v>
      </c>
    </row>
    <row r="259">
      <c r="A259" s="1">
        <v>43666.0</v>
      </c>
      <c r="B259" s="2">
        <v>10767.0</v>
      </c>
    </row>
    <row r="260">
      <c r="A260" s="1">
        <v>43665.0</v>
      </c>
      <c r="B260" s="2">
        <v>10531.0</v>
      </c>
    </row>
    <row r="261">
      <c r="A261" s="1">
        <v>43664.0</v>
      </c>
      <c r="B261" s="2">
        <v>10666.0</v>
      </c>
    </row>
    <row r="262">
      <c r="A262" s="1">
        <v>43663.0</v>
      </c>
      <c r="B262" s="2">
        <v>9694.0</v>
      </c>
    </row>
    <row r="263">
      <c r="A263" s="1">
        <v>43662.0</v>
      </c>
      <c r="B263" s="2">
        <v>9478.0</v>
      </c>
    </row>
    <row r="264">
      <c r="A264" s="1">
        <v>43661.0</v>
      </c>
      <c r="B264" s="2">
        <v>10895.0</v>
      </c>
    </row>
    <row r="265">
      <c r="A265" s="1">
        <v>43660.0</v>
      </c>
      <c r="B265" s="2">
        <v>10256.0</v>
      </c>
    </row>
    <row r="266">
      <c r="A266" s="1">
        <v>43659.0</v>
      </c>
      <c r="B266" s="2">
        <v>11392.0</v>
      </c>
    </row>
    <row r="267">
      <c r="A267" s="1">
        <v>43658.0</v>
      </c>
      <c r="B267" s="2">
        <v>11816.0</v>
      </c>
    </row>
    <row r="268">
      <c r="A268" s="1">
        <v>43657.0</v>
      </c>
      <c r="B268" s="2">
        <v>11359.0</v>
      </c>
    </row>
    <row r="269">
      <c r="A269" s="1">
        <v>43656.0</v>
      </c>
      <c r="B269" s="2">
        <v>12157.0</v>
      </c>
    </row>
    <row r="270">
      <c r="A270" s="1">
        <v>43655.0</v>
      </c>
      <c r="B270" s="2">
        <v>12574.0</v>
      </c>
    </row>
    <row r="271">
      <c r="A271" s="1">
        <v>43654.0</v>
      </c>
      <c r="B271" s="2">
        <v>12286.0</v>
      </c>
    </row>
    <row r="272">
      <c r="A272" s="1">
        <v>43653.0</v>
      </c>
      <c r="B272" s="2">
        <v>11451.0</v>
      </c>
    </row>
    <row r="273">
      <c r="A273" s="1">
        <v>43652.0</v>
      </c>
      <c r="B273" s="2">
        <v>11209.0</v>
      </c>
    </row>
    <row r="274">
      <c r="A274" s="1">
        <v>43651.0</v>
      </c>
      <c r="B274" s="2">
        <v>10978.0</v>
      </c>
    </row>
    <row r="275">
      <c r="A275" s="1">
        <v>43650.0</v>
      </c>
      <c r="B275" s="2">
        <v>11215.0</v>
      </c>
    </row>
    <row r="276">
      <c r="A276" s="1">
        <v>43649.0</v>
      </c>
      <c r="B276" s="2">
        <v>11961.0</v>
      </c>
    </row>
    <row r="277">
      <c r="A277" s="1">
        <v>43648.0</v>
      </c>
      <c r="B277" s="2">
        <v>10802.0</v>
      </c>
    </row>
    <row r="278">
      <c r="A278" s="1">
        <v>43647.0</v>
      </c>
      <c r="B278" s="2">
        <v>10583.0</v>
      </c>
    </row>
    <row r="279">
      <c r="A279" s="1">
        <v>43646.0</v>
      </c>
      <c r="B279" s="2">
        <v>10817.0</v>
      </c>
    </row>
    <row r="280">
      <c r="A280" s="1">
        <v>43645.0</v>
      </c>
      <c r="B280" s="2">
        <v>11959.0</v>
      </c>
    </row>
    <row r="281">
      <c r="A281" s="1">
        <v>43644.0</v>
      </c>
      <c r="B281" s="2">
        <v>12407.0</v>
      </c>
    </row>
    <row r="282">
      <c r="A282" s="1">
        <v>43643.0</v>
      </c>
      <c r="B282" s="2">
        <v>11183.0</v>
      </c>
    </row>
    <row r="283">
      <c r="A283" s="1">
        <v>43642.0</v>
      </c>
      <c r="B283" s="2">
        <v>13016.0</v>
      </c>
    </row>
    <row r="284">
      <c r="A284" s="1">
        <v>43641.0</v>
      </c>
      <c r="B284" s="2">
        <v>11791.0</v>
      </c>
    </row>
    <row r="285">
      <c r="A285" s="1">
        <v>43640.0</v>
      </c>
      <c r="B285" s="2">
        <v>11011.0</v>
      </c>
    </row>
    <row r="286">
      <c r="A286" s="1">
        <v>43639.0</v>
      </c>
      <c r="B286" s="2">
        <v>10855.0</v>
      </c>
    </row>
    <row r="287">
      <c r="A287" s="1">
        <v>43638.0</v>
      </c>
      <c r="B287" s="2">
        <v>10702.0</v>
      </c>
    </row>
    <row r="288">
      <c r="A288" s="1">
        <v>43637.0</v>
      </c>
      <c r="B288" s="2">
        <v>10145.0</v>
      </c>
    </row>
    <row r="289">
      <c r="A289" s="1">
        <v>43636.0</v>
      </c>
      <c r="B289" s="2">
        <v>9527.0</v>
      </c>
    </row>
    <row r="290">
      <c r="A290" s="1">
        <v>43635.0</v>
      </c>
      <c r="B290" s="2">
        <v>9274.0</v>
      </c>
    </row>
    <row r="291">
      <c r="A291" s="1">
        <v>43634.0</v>
      </c>
      <c r="B291" s="2">
        <v>9082.0</v>
      </c>
    </row>
    <row r="292">
      <c r="A292" s="1">
        <v>43633.0</v>
      </c>
      <c r="B292" s="2">
        <v>9320.0</v>
      </c>
    </row>
    <row r="293">
      <c r="A293" s="1">
        <v>43632.0</v>
      </c>
      <c r="B293" s="2">
        <v>8994.0</v>
      </c>
    </row>
    <row r="294">
      <c r="A294" s="1">
        <v>43631.0</v>
      </c>
      <c r="B294" s="2">
        <v>8838.0</v>
      </c>
    </row>
    <row r="295">
      <c r="A295" s="1">
        <v>43630.0</v>
      </c>
      <c r="B295" s="2">
        <v>8694.0</v>
      </c>
    </row>
    <row r="296">
      <c r="A296" s="1">
        <v>43629.0</v>
      </c>
      <c r="B296" s="2">
        <v>8231.0</v>
      </c>
    </row>
    <row r="297">
      <c r="A297" s="1">
        <v>43628.0</v>
      </c>
      <c r="B297" s="2">
        <v>8146.0</v>
      </c>
    </row>
    <row r="298">
      <c r="A298" s="1">
        <v>43627.0</v>
      </c>
      <c r="B298" s="2">
        <v>7928.0</v>
      </c>
    </row>
    <row r="299">
      <c r="A299" s="1">
        <v>43626.0</v>
      </c>
      <c r="B299" s="2">
        <v>8000.0</v>
      </c>
    </row>
    <row r="300">
      <c r="A300" s="1">
        <v>43625.0</v>
      </c>
      <c r="B300" s="2">
        <v>7688.0</v>
      </c>
    </row>
    <row r="301">
      <c r="A301" s="1">
        <v>43624.0</v>
      </c>
      <c r="B301" s="2">
        <v>7954.0</v>
      </c>
    </row>
    <row r="302">
      <c r="A302" s="1">
        <v>43623.0</v>
      </c>
      <c r="B302" s="2">
        <v>8044.0</v>
      </c>
    </row>
    <row r="303">
      <c r="A303" s="1">
        <v>43622.0</v>
      </c>
      <c r="B303" s="2">
        <v>7822.0</v>
      </c>
    </row>
    <row r="304">
      <c r="A304" s="1">
        <v>43621.0</v>
      </c>
      <c r="B304" s="2">
        <v>7824.0</v>
      </c>
    </row>
    <row r="305">
      <c r="A305" s="1">
        <v>43620.0</v>
      </c>
      <c r="B305" s="2">
        <v>7708.0</v>
      </c>
    </row>
    <row r="306">
      <c r="A306" s="1">
        <v>43619.0</v>
      </c>
      <c r="B306" s="2">
        <v>8209.0</v>
      </c>
    </row>
    <row r="307">
      <c r="A307" s="1">
        <v>43618.0</v>
      </c>
      <c r="B307" s="2">
        <v>8743.0</v>
      </c>
    </row>
    <row r="308">
      <c r="A308" s="1">
        <v>43617.0</v>
      </c>
      <c r="B308" s="2">
        <v>8564.0</v>
      </c>
    </row>
    <row r="309">
      <c r="A309" s="1">
        <v>43616.0</v>
      </c>
      <c r="B309" s="2">
        <v>8575.0</v>
      </c>
    </row>
    <row r="310">
      <c r="A310" s="1">
        <v>43615.0</v>
      </c>
      <c r="B310" s="2">
        <v>8319.0</v>
      </c>
    </row>
    <row r="311">
      <c r="A311" s="1">
        <v>43614.0</v>
      </c>
      <c r="B311" s="2">
        <v>8659.0</v>
      </c>
    </row>
    <row r="312">
      <c r="A312" s="1">
        <v>43613.0</v>
      </c>
      <c r="B312" s="2">
        <v>8720.0</v>
      </c>
    </row>
    <row r="313">
      <c r="A313" s="1">
        <v>43612.0</v>
      </c>
      <c r="B313" s="2">
        <v>8806.0</v>
      </c>
    </row>
    <row r="314">
      <c r="A314" s="1">
        <v>43611.0</v>
      </c>
      <c r="B314" s="2">
        <v>8673.0</v>
      </c>
    </row>
    <row r="315">
      <c r="A315" s="1">
        <v>43610.0</v>
      </c>
      <c r="B315" s="2">
        <v>8053.0</v>
      </c>
    </row>
    <row r="316">
      <c r="A316" s="1">
        <v>43609.0</v>
      </c>
      <c r="B316" s="2">
        <v>7987.0</v>
      </c>
    </row>
    <row r="317">
      <c r="A317" s="1">
        <v>43608.0</v>
      </c>
      <c r="B317" s="2">
        <v>7882.0</v>
      </c>
    </row>
    <row r="318">
      <c r="A318" s="1">
        <v>43607.0</v>
      </c>
      <c r="B318" s="2">
        <v>7680.0</v>
      </c>
    </row>
    <row r="319">
      <c r="A319" s="1">
        <v>43606.0</v>
      </c>
      <c r="B319" s="2">
        <v>7963.0</v>
      </c>
    </row>
    <row r="320">
      <c r="A320" s="1">
        <v>43605.0</v>
      </c>
      <c r="B320" s="2">
        <v>7978.0</v>
      </c>
    </row>
    <row r="321">
      <c r="A321" s="1">
        <v>43604.0</v>
      </c>
      <c r="B321" s="2">
        <v>8198.0</v>
      </c>
    </row>
    <row r="322">
      <c r="A322" s="1">
        <v>43603.0</v>
      </c>
      <c r="B322" s="2">
        <v>7271.0</v>
      </c>
    </row>
    <row r="323">
      <c r="A323" s="1">
        <v>43602.0</v>
      </c>
      <c r="B323" s="2">
        <v>7344.0</v>
      </c>
    </row>
    <row r="324">
      <c r="A324" s="1">
        <v>43601.0</v>
      </c>
      <c r="B324" s="2">
        <v>7885.0</v>
      </c>
    </row>
    <row r="325">
      <c r="A325" s="1">
        <v>43600.0</v>
      </c>
      <c r="B325" s="2">
        <v>8205.0</v>
      </c>
    </row>
    <row r="326">
      <c r="A326" s="1">
        <v>43599.0</v>
      </c>
      <c r="B326" s="2">
        <v>7994.0</v>
      </c>
    </row>
    <row r="327">
      <c r="A327" s="1">
        <v>43598.0</v>
      </c>
      <c r="B327" s="2">
        <v>7815.0</v>
      </c>
    </row>
    <row r="328">
      <c r="A328" s="1">
        <v>43597.0</v>
      </c>
      <c r="B328" s="2">
        <v>6972.0</v>
      </c>
    </row>
    <row r="329">
      <c r="A329" s="1">
        <v>43596.0</v>
      </c>
      <c r="B329" s="2">
        <v>7205.0</v>
      </c>
    </row>
    <row r="330">
      <c r="A330" s="1">
        <v>43595.0</v>
      </c>
      <c r="B330" s="2">
        <v>6379.0</v>
      </c>
    </row>
    <row r="331">
      <c r="A331" s="1">
        <v>43594.0</v>
      </c>
      <c r="B331" s="2">
        <v>6175.0</v>
      </c>
    </row>
    <row r="332">
      <c r="A332" s="1">
        <v>43593.0</v>
      </c>
      <c r="B332" s="2">
        <v>5982.0</v>
      </c>
    </row>
    <row r="333">
      <c r="A333" s="1">
        <v>43592.0</v>
      </c>
      <c r="B333" s="2">
        <v>5830.0</v>
      </c>
    </row>
    <row r="334">
      <c r="A334" s="1">
        <v>43591.0</v>
      </c>
      <c r="B334" s="2">
        <v>5747.0</v>
      </c>
    </row>
    <row r="335">
      <c r="A335" s="1">
        <v>43590.0</v>
      </c>
      <c r="B335" s="2">
        <v>5796.0</v>
      </c>
    </row>
    <row r="336">
      <c r="A336" s="1">
        <v>43589.0</v>
      </c>
      <c r="B336" s="2">
        <v>5831.0</v>
      </c>
    </row>
    <row r="337">
      <c r="A337" s="1">
        <v>43588.0</v>
      </c>
      <c r="B337" s="2">
        <v>5768.0</v>
      </c>
    </row>
    <row r="338">
      <c r="A338" s="1">
        <v>43587.0</v>
      </c>
      <c r="B338" s="2">
        <v>5505.0</v>
      </c>
    </row>
    <row r="339">
      <c r="A339" s="1">
        <v>43586.0</v>
      </c>
      <c r="B339" s="2">
        <v>5403.0</v>
      </c>
    </row>
    <row r="340">
      <c r="A340" s="1">
        <v>43585.0</v>
      </c>
      <c r="B340" s="2">
        <v>5351.0</v>
      </c>
    </row>
    <row r="341">
      <c r="A341" s="1">
        <v>43584.0</v>
      </c>
      <c r="B341" s="2">
        <v>5247.0</v>
      </c>
    </row>
    <row r="342">
      <c r="A342" s="1">
        <v>43583.0</v>
      </c>
      <c r="B342" s="2">
        <v>5285.0</v>
      </c>
    </row>
    <row r="343">
      <c r="A343" s="1">
        <v>43582.0</v>
      </c>
      <c r="B343" s="2">
        <v>5268.0</v>
      </c>
    </row>
    <row r="344">
      <c r="A344" s="1">
        <v>43581.0</v>
      </c>
      <c r="B344" s="2">
        <v>5279.0</v>
      </c>
    </row>
    <row r="345">
      <c r="A345" s="1">
        <v>43580.0</v>
      </c>
      <c r="B345" s="2">
        <v>5211.0</v>
      </c>
    </row>
    <row r="346">
      <c r="A346" s="1">
        <v>43579.0</v>
      </c>
      <c r="B346" s="2">
        <v>5465.0</v>
      </c>
    </row>
    <row r="347">
      <c r="A347" s="1">
        <v>43578.0</v>
      </c>
      <c r="B347" s="2">
        <v>5572.0</v>
      </c>
    </row>
    <row r="348">
      <c r="A348" s="1">
        <v>43577.0</v>
      </c>
      <c r="B348" s="2">
        <v>5399.0</v>
      </c>
    </row>
    <row r="349">
      <c r="A349" s="1">
        <v>43576.0</v>
      </c>
      <c r="B349" s="2">
        <v>5315.0</v>
      </c>
    </row>
    <row r="350">
      <c r="A350" s="1">
        <v>43575.0</v>
      </c>
      <c r="B350" s="2">
        <v>5338.0</v>
      </c>
    </row>
    <row r="351">
      <c r="A351" s="1">
        <v>43574.0</v>
      </c>
      <c r="B351" s="2">
        <v>5304.0</v>
      </c>
    </row>
    <row r="352">
      <c r="A352" s="1">
        <v>43573.0</v>
      </c>
      <c r="B352" s="2">
        <v>5298.0</v>
      </c>
    </row>
    <row r="353">
      <c r="A353" s="1">
        <v>43572.0</v>
      </c>
      <c r="B353" s="2">
        <v>5252.0</v>
      </c>
    </row>
    <row r="354">
      <c r="A354" s="1">
        <v>43571.0</v>
      </c>
      <c r="B354" s="2">
        <v>5236.0</v>
      </c>
    </row>
    <row r="355">
      <c r="A355" s="1">
        <v>43570.0</v>
      </c>
      <c r="B355" s="2">
        <v>5067.0</v>
      </c>
    </row>
    <row r="356">
      <c r="A356" s="1">
        <v>43569.0</v>
      </c>
      <c r="B356" s="2">
        <v>5168.0</v>
      </c>
    </row>
    <row r="357">
      <c r="A357" s="1">
        <v>43568.0</v>
      </c>
      <c r="B357" s="2">
        <v>5097.0</v>
      </c>
    </row>
    <row r="358">
      <c r="A358" s="1">
        <v>43567.0</v>
      </c>
      <c r="B358" s="2">
        <v>5090.0</v>
      </c>
    </row>
    <row r="359">
      <c r="A359" s="1">
        <v>43566.0</v>
      </c>
      <c r="B359" s="2">
        <v>5064.0</v>
      </c>
    </row>
    <row r="360">
      <c r="A360" s="1">
        <v>43565.0</v>
      </c>
      <c r="B360" s="2">
        <v>5325.0</v>
      </c>
    </row>
    <row r="361">
      <c r="A361" s="1">
        <v>43564.0</v>
      </c>
      <c r="B361" s="2">
        <v>5205.0</v>
      </c>
    </row>
    <row r="362">
      <c r="A362" s="1">
        <v>43563.0</v>
      </c>
      <c r="B362" s="2">
        <v>5290.0</v>
      </c>
    </row>
    <row r="363">
      <c r="A363" s="1">
        <v>43562.0</v>
      </c>
      <c r="B363" s="2">
        <v>5199.0</v>
      </c>
    </row>
    <row r="364">
      <c r="A364" s="1">
        <v>43561.0</v>
      </c>
      <c r="B364" s="2">
        <v>5060.0</v>
      </c>
    </row>
    <row r="365">
      <c r="A365" s="1">
        <v>43560.0</v>
      </c>
      <c r="B365" s="2">
        <v>5037.0</v>
      </c>
    </row>
    <row r="366">
      <c r="A366" s="1">
        <v>43559.0</v>
      </c>
      <c r="B366" s="2">
        <v>4923.0</v>
      </c>
    </row>
    <row r="367">
      <c r="A367" s="1">
        <v>43558.0</v>
      </c>
      <c r="B367" s="2">
        <v>4973.0</v>
      </c>
    </row>
    <row r="368">
      <c r="A368" s="1">
        <v>43557.0</v>
      </c>
      <c r="B368" s="2">
        <v>4880.0</v>
      </c>
    </row>
    <row r="369">
      <c r="A369" s="1">
        <v>43556.0</v>
      </c>
      <c r="B369" s="2">
        <v>4158.0</v>
      </c>
    </row>
    <row r="370">
      <c r="A370" s="1">
        <v>43555.0</v>
      </c>
      <c r="B370" s="2">
        <v>4105.0</v>
      </c>
    </row>
    <row r="371">
      <c r="A371" s="1">
        <v>43554.0</v>
      </c>
      <c r="B371" s="2">
        <v>4107.0</v>
      </c>
    </row>
    <row r="372">
      <c r="A372" s="1">
        <v>43553.0</v>
      </c>
      <c r="B372" s="2">
        <v>4098.0</v>
      </c>
    </row>
    <row r="373">
      <c r="A373" s="1">
        <v>43552.0</v>
      </c>
      <c r="B373" s="2">
        <v>4069.0</v>
      </c>
    </row>
    <row r="374">
      <c r="A374" s="1">
        <v>43551.0</v>
      </c>
      <c r="B374" s="2">
        <v>4087.0</v>
      </c>
    </row>
    <row r="375">
      <c r="A375" s="1">
        <v>43550.0</v>
      </c>
      <c r="B375" s="2">
        <v>3985.0</v>
      </c>
    </row>
    <row r="376">
      <c r="A376" s="1">
        <v>43549.0</v>
      </c>
      <c r="B376" s="2">
        <v>3963.0</v>
      </c>
    </row>
    <row r="377">
      <c r="A377" s="1">
        <v>43548.0</v>
      </c>
      <c r="B377" s="2">
        <v>4022.0</v>
      </c>
    </row>
    <row r="378">
      <c r="A378" s="1">
        <v>43547.0</v>
      </c>
      <c r="B378" s="2">
        <v>4036.0</v>
      </c>
    </row>
    <row r="379">
      <c r="A379" s="1">
        <v>43546.0</v>
      </c>
      <c r="B379" s="2">
        <v>4024.0</v>
      </c>
    </row>
    <row r="380">
      <c r="A380" s="1">
        <v>43545.0</v>
      </c>
      <c r="B380" s="2">
        <v>4029.0</v>
      </c>
    </row>
    <row r="381">
      <c r="A381" s="1">
        <v>43544.0</v>
      </c>
      <c r="B381" s="2">
        <v>4087.0</v>
      </c>
    </row>
    <row r="382">
      <c r="A382" s="1">
        <v>43543.0</v>
      </c>
      <c r="B382" s="2">
        <v>4071.0</v>
      </c>
    </row>
    <row r="383">
      <c r="A383" s="1">
        <v>43542.0</v>
      </c>
      <c r="B383" s="2">
        <v>4033.0</v>
      </c>
    </row>
    <row r="384">
      <c r="A384" s="1">
        <v>43541.0</v>
      </c>
      <c r="B384" s="2">
        <v>4025.0</v>
      </c>
    </row>
    <row r="385">
      <c r="A385" s="1">
        <v>43540.0</v>
      </c>
      <c r="B385" s="2">
        <v>4049.0</v>
      </c>
    </row>
    <row r="386">
      <c r="A386" s="1">
        <v>43539.0</v>
      </c>
      <c r="B386" s="2">
        <v>3961.0</v>
      </c>
    </row>
    <row r="387">
      <c r="A387" s="1">
        <v>43538.0</v>
      </c>
      <c r="B387" s="2">
        <v>3924.0</v>
      </c>
    </row>
    <row r="388">
      <c r="A388" s="1">
        <v>43537.0</v>
      </c>
      <c r="B388" s="2">
        <v>3907.0</v>
      </c>
    </row>
    <row r="389">
      <c r="A389" s="1">
        <v>43536.0</v>
      </c>
      <c r="B389" s="2">
        <v>3909.0</v>
      </c>
    </row>
    <row r="390">
      <c r="A390" s="1">
        <v>43535.0</v>
      </c>
      <c r="B390" s="2">
        <v>3905.0</v>
      </c>
    </row>
    <row r="391">
      <c r="A391" s="1">
        <v>43534.0</v>
      </c>
      <c r="B391" s="2">
        <v>3952.0</v>
      </c>
    </row>
    <row r="392">
      <c r="A392" s="1">
        <v>43533.0</v>
      </c>
      <c r="B392" s="2">
        <v>3963.0</v>
      </c>
    </row>
    <row r="393">
      <c r="A393" s="1">
        <v>43532.0</v>
      </c>
      <c r="B393" s="2">
        <v>3901.0</v>
      </c>
    </row>
    <row r="394">
      <c r="A394" s="1">
        <v>43531.0</v>
      </c>
      <c r="B394" s="2">
        <v>3911.0</v>
      </c>
    </row>
    <row r="395">
      <c r="A395" s="1">
        <v>43530.0</v>
      </c>
      <c r="B395" s="2">
        <v>3904.0</v>
      </c>
    </row>
    <row r="396">
      <c r="A396" s="1">
        <v>43529.0</v>
      </c>
      <c r="B396" s="2">
        <v>3896.0</v>
      </c>
    </row>
    <row r="397">
      <c r="A397" s="1">
        <v>43528.0</v>
      </c>
      <c r="B397" s="2">
        <v>3762.0</v>
      </c>
    </row>
    <row r="398">
      <c r="A398" s="1">
        <v>43527.0</v>
      </c>
      <c r="B398" s="2">
        <v>3847.0</v>
      </c>
    </row>
    <row r="399">
      <c r="A399" s="1">
        <v>43526.0</v>
      </c>
      <c r="B399" s="2">
        <v>3864.0</v>
      </c>
    </row>
    <row r="400">
      <c r="A400" s="1">
        <v>43525.0</v>
      </c>
      <c r="B400" s="2">
        <v>3860.0</v>
      </c>
    </row>
    <row r="401">
      <c r="A401" s="1">
        <v>43524.0</v>
      </c>
      <c r="B401" s="2">
        <v>3855.0</v>
      </c>
    </row>
    <row r="402">
      <c r="A402" s="1">
        <v>43523.0</v>
      </c>
      <c r="B402" s="2">
        <v>3851.0</v>
      </c>
    </row>
    <row r="403">
      <c r="A403" s="1">
        <v>43522.0</v>
      </c>
      <c r="B403" s="2">
        <v>3854.0</v>
      </c>
    </row>
    <row r="404">
      <c r="A404" s="3"/>
      <c r="B404" s="4"/>
    </row>
    <row r="405">
      <c r="A405" s="3"/>
      <c r="B405" s="4"/>
    </row>
    <row r="406">
      <c r="A406" s="3"/>
      <c r="B406" s="4"/>
    </row>
    <row r="407">
      <c r="A407" s="3"/>
      <c r="B407" s="4"/>
    </row>
    <row r="408">
      <c r="A408" s="3"/>
      <c r="B408" s="4"/>
    </row>
    <row r="409">
      <c r="A409" s="3"/>
      <c r="B409" s="4"/>
    </row>
    <row r="410">
      <c r="A410" s="3"/>
      <c r="B410" s="4"/>
    </row>
    <row r="411">
      <c r="A411" s="3"/>
      <c r="B411" s="4"/>
    </row>
    <row r="412">
      <c r="A412" s="3"/>
      <c r="B412" s="4"/>
    </row>
    <row r="413">
      <c r="A413" s="3"/>
      <c r="B413" s="4"/>
    </row>
    <row r="414">
      <c r="A414" s="3"/>
      <c r="B414" s="4"/>
    </row>
    <row r="415">
      <c r="A415" s="3"/>
      <c r="B415" s="4"/>
    </row>
    <row r="416">
      <c r="A416" s="3"/>
      <c r="B416" s="4"/>
    </row>
    <row r="417">
      <c r="A417" s="3"/>
      <c r="B417" s="4"/>
    </row>
    <row r="418">
      <c r="A418" s="3"/>
      <c r="B418" s="4"/>
    </row>
    <row r="419">
      <c r="A419" s="3"/>
      <c r="B419" s="4"/>
    </row>
    <row r="420">
      <c r="A420" s="3"/>
      <c r="B420" s="4"/>
    </row>
    <row r="421">
      <c r="A421" s="3"/>
      <c r="B421" s="4"/>
    </row>
    <row r="422">
      <c r="A422" s="3"/>
      <c r="B422" s="4"/>
    </row>
    <row r="423">
      <c r="A423" s="3"/>
      <c r="B423" s="4"/>
    </row>
    <row r="424">
      <c r="A424" s="3"/>
      <c r="B424" s="4"/>
    </row>
    <row r="425">
      <c r="A425" s="3"/>
      <c r="B425" s="4"/>
    </row>
    <row r="426">
      <c r="A426" s="3"/>
      <c r="B426" s="4"/>
    </row>
    <row r="427">
      <c r="A427" s="3"/>
      <c r="B427" s="4"/>
    </row>
    <row r="428">
      <c r="A428" s="3"/>
      <c r="B428" s="4"/>
    </row>
    <row r="429">
      <c r="A429" s="3"/>
      <c r="B429" s="4"/>
    </row>
    <row r="430">
      <c r="A430" s="3"/>
      <c r="B430" s="4"/>
    </row>
    <row r="431">
      <c r="A431" s="3"/>
      <c r="B431" s="4"/>
    </row>
    <row r="432">
      <c r="A432" s="3"/>
      <c r="B432" s="4"/>
    </row>
    <row r="433">
      <c r="A433" s="3"/>
      <c r="B433" s="4"/>
    </row>
    <row r="434">
      <c r="A434" s="3"/>
      <c r="B434" s="4"/>
    </row>
    <row r="435">
      <c r="A435" s="3"/>
      <c r="B435" s="4"/>
    </row>
    <row r="436">
      <c r="A436" s="3"/>
      <c r="B436" s="4"/>
    </row>
    <row r="437">
      <c r="A437" s="3"/>
      <c r="B437" s="4"/>
    </row>
    <row r="438">
      <c r="A438" s="3"/>
      <c r="B438" s="4"/>
    </row>
    <row r="439">
      <c r="A439" s="3"/>
      <c r="B439" s="4"/>
    </row>
    <row r="440">
      <c r="A440" s="3"/>
      <c r="B440" s="4"/>
    </row>
    <row r="441">
      <c r="A441" s="3"/>
      <c r="B441" s="4"/>
    </row>
    <row r="442">
      <c r="A442" s="3"/>
      <c r="B442" s="4"/>
    </row>
    <row r="443">
      <c r="A443" s="3"/>
      <c r="B443" s="4"/>
    </row>
    <row r="444">
      <c r="A444" s="3"/>
      <c r="B444" s="4"/>
    </row>
    <row r="445">
      <c r="A445" s="3"/>
      <c r="B445" s="4"/>
    </row>
    <row r="446">
      <c r="A446" s="3"/>
      <c r="B446" s="4"/>
    </row>
    <row r="447">
      <c r="A447" s="3"/>
      <c r="B447" s="4"/>
    </row>
    <row r="448">
      <c r="A448" s="3"/>
      <c r="B448" s="4"/>
    </row>
    <row r="449">
      <c r="A449" s="3"/>
      <c r="B449" s="4"/>
    </row>
    <row r="450">
      <c r="A450" s="3"/>
      <c r="B450" s="4"/>
    </row>
    <row r="451">
      <c r="A451" s="3"/>
      <c r="B451" s="4"/>
    </row>
    <row r="452">
      <c r="A452" s="3"/>
      <c r="B452" s="4"/>
    </row>
    <row r="453">
      <c r="A453" s="3"/>
      <c r="B453" s="4"/>
    </row>
    <row r="454">
      <c r="A454" s="3"/>
      <c r="B454" s="4"/>
    </row>
    <row r="455">
      <c r="A455" s="3"/>
      <c r="B455" s="4"/>
    </row>
    <row r="456">
      <c r="A456" s="3"/>
      <c r="B456" s="4"/>
    </row>
    <row r="457">
      <c r="A457" s="3"/>
      <c r="B457" s="4"/>
    </row>
    <row r="458">
      <c r="A458" s="3"/>
      <c r="B458" s="4"/>
    </row>
    <row r="459">
      <c r="A459" s="3"/>
      <c r="B459" s="4"/>
    </row>
    <row r="460">
      <c r="A460" s="3"/>
      <c r="B460" s="4"/>
    </row>
    <row r="461">
      <c r="A461" s="3"/>
      <c r="B461" s="4"/>
    </row>
    <row r="462">
      <c r="A462" s="3"/>
      <c r="B462" s="4"/>
    </row>
    <row r="463">
      <c r="A463" s="3"/>
      <c r="B463" s="4"/>
    </row>
    <row r="464">
      <c r="A464" s="3"/>
      <c r="B464" s="4"/>
    </row>
    <row r="465">
      <c r="A465" s="3"/>
      <c r="B465" s="4"/>
    </row>
    <row r="466">
      <c r="A466" s="3"/>
      <c r="B466" s="4"/>
    </row>
    <row r="467">
      <c r="A467" s="3"/>
      <c r="B467" s="4"/>
    </row>
    <row r="468">
      <c r="A468" s="3"/>
      <c r="B468" s="4"/>
    </row>
    <row r="469">
      <c r="A469" s="3"/>
      <c r="B469" s="4"/>
    </row>
    <row r="470">
      <c r="A470" s="3"/>
      <c r="B470" s="4"/>
    </row>
    <row r="471">
      <c r="A471" s="3"/>
      <c r="B471" s="4"/>
    </row>
    <row r="472">
      <c r="A472" s="3"/>
      <c r="B472" s="4"/>
    </row>
    <row r="473">
      <c r="A473" s="3"/>
      <c r="B473" s="4"/>
    </row>
    <row r="474">
      <c r="A474" s="3"/>
      <c r="B474" s="4"/>
    </row>
    <row r="475">
      <c r="A475" s="3"/>
      <c r="B475" s="4"/>
    </row>
    <row r="476">
      <c r="A476" s="3"/>
      <c r="B476" s="4"/>
    </row>
    <row r="477">
      <c r="A477" s="3"/>
      <c r="B477" s="4"/>
    </row>
    <row r="478">
      <c r="A478" s="3"/>
      <c r="B478" s="4"/>
    </row>
    <row r="479">
      <c r="A479" s="3"/>
      <c r="B479" s="4"/>
    </row>
    <row r="480">
      <c r="A480" s="3"/>
      <c r="B480" s="4"/>
    </row>
    <row r="481">
      <c r="A481" s="3"/>
      <c r="B481" s="4"/>
    </row>
    <row r="482">
      <c r="A482" s="3"/>
      <c r="B482" s="4"/>
    </row>
    <row r="483">
      <c r="A483" s="3"/>
      <c r="B483" s="4"/>
    </row>
    <row r="484">
      <c r="A484" s="3"/>
      <c r="B484" s="4"/>
    </row>
    <row r="485">
      <c r="A485" s="3"/>
      <c r="B485" s="4"/>
    </row>
    <row r="486">
      <c r="A486" s="3"/>
      <c r="B486" s="4"/>
    </row>
    <row r="487">
      <c r="A487" s="3"/>
      <c r="B487" s="4"/>
    </row>
    <row r="488">
      <c r="A488" s="3"/>
      <c r="B488" s="4"/>
    </row>
    <row r="489">
      <c r="A489" s="3"/>
      <c r="B489" s="4"/>
    </row>
    <row r="490">
      <c r="A490" s="3"/>
      <c r="B490" s="4"/>
    </row>
    <row r="491">
      <c r="A491" s="3"/>
      <c r="B491" s="4"/>
    </row>
    <row r="492">
      <c r="A492" s="3"/>
      <c r="B492" s="4"/>
    </row>
    <row r="493">
      <c r="A493" s="3"/>
      <c r="B493" s="4"/>
    </row>
    <row r="494">
      <c r="A494" s="3"/>
      <c r="B494" s="4"/>
    </row>
    <row r="495">
      <c r="A495" s="3"/>
      <c r="B495" s="4"/>
    </row>
    <row r="496">
      <c r="A496" s="3"/>
      <c r="B496" s="4"/>
    </row>
    <row r="497">
      <c r="A497" s="3"/>
      <c r="B497" s="4"/>
    </row>
    <row r="498">
      <c r="A498" s="3"/>
      <c r="B498" s="4"/>
    </row>
    <row r="499">
      <c r="A499" s="3"/>
      <c r="B499" s="4"/>
    </row>
    <row r="500">
      <c r="A500" s="3"/>
      <c r="B500" s="4"/>
    </row>
    <row r="501">
      <c r="A501" s="3"/>
      <c r="B501" s="4"/>
    </row>
    <row r="502">
      <c r="A502" s="3"/>
      <c r="B502" s="4"/>
    </row>
    <row r="503">
      <c r="A503" s="3"/>
      <c r="B503" s="4"/>
    </row>
    <row r="504">
      <c r="A504" s="3"/>
      <c r="B504" s="4"/>
    </row>
    <row r="505">
      <c r="A505" s="3"/>
      <c r="B505" s="4"/>
    </row>
    <row r="506">
      <c r="A506" s="3"/>
      <c r="B506" s="4"/>
    </row>
    <row r="507">
      <c r="A507" s="3"/>
      <c r="B507" s="4"/>
    </row>
    <row r="508">
      <c r="A508" s="3"/>
      <c r="B508" s="4"/>
    </row>
    <row r="509">
      <c r="A509" s="3"/>
      <c r="B509" s="4"/>
    </row>
    <row r="510">
      <c r="A510" s="3"/>
      <c r="B510" s="4"/>
    </row>
    <row r="511">
      <c r="A511" s="3"/>
      <c r="B511" s="4"/>
    </row>
    <row r="512">
      <c r="A512" s="3"/>
      <c r="B512" s="4"/>
    </row>
    <row r="513">
      <c r="A513" s="3"/>
      <c r="B513" s="4"/>
    </row>
    <row r="514">
      <c r="A514" s="3"/>
      <c r="B514" s="4"/>
    </row>
    <row r="515">
      <c r="A515" s="3"/>
      <c r="B515" s="4"/>
    </row>
    <row r="516">
      <c r="A516" s="3"/>
      <c r="B516" s="4"/>
    </row>
    <row r="517">
      <c r="A517" s="3"/>
      <c r="B517" s="4"/>
    </row>
    <row r="518">
      <c r="A518" s="3"/>
      <c r="B518" s="4"/>
    </row>
    <row r="519">
      <c r="A519" s="3"/>
      <c r="B519" s="4"/>
    </row>
    <row r="520">
      <c r="A520" s="3"/>
      <c r="B520" s="4"/>
    </row>
    <row r="521">
      <c r="A521" s="3"/>
      <c r="B521" s="4"/>
    </row>
    <row r="522">
      <c r="A522" s="3"/>
      <c r="B522" s="4"/>
    </row>
    <row r="523">
      <c r="A523" s="3"/>
      <c r="B523" s="4"/>
    </row>
    <row r="524">
      <c r="A524" s="3"/>
      <c r="B524" s="4"/>
    </row>
    <row r="525">
      <c r="A525" s="3"/>
      <c r="B525" s="4"/>
    </row>
    <row r="526">
      <c r="A526" s="3"/>
      <c r="B526" s="4"/>
    </row>
    <row r="527">
      <c r="A527" s="3"/>
      <c r="B527" s="4"/>
    </row>
    <row r="528">
      <c r="A528" s="3"/>
      <c r="B528" s="4"/>
    </row>
    <row r="529">
      <c r="A529" s="3"/>
      <c r="B529" s="4"/>
    </row>
    <row r="530">
      <c r="A530" s="3"/>
      <c r="B530" s="4"/>
    </row>
    <row r="531">
      <c r="A531" s="3"/>
      <c r="B531" s="4"/>
    </row>
    <row r="532">
      <c r="A532" s="3"/>
      <c r="B532" s="4"/>
    </row>
    <row r="533">
      <c r="A533" s="3"/>
      <c r="B533" s="4"/>
    </row>
    <row r="534">
      <c r="A534" s="3"/>
      <c r="B534" s="4"/>
    </row>
    <row r="535">
      <c r="A535" s="3"/>
      <c r="B535" s="4"/>
    </row>
    <row r="536">
      <c r="A536" s="3"/>
      <c r="B536" s="4"/>
    </row>
    <row r="537">
      <c r="A537" s="3"/>
      <c r="B537" s="4"/>
    </row>
    <row r="538">
      <c r="A538" s="3"/>
      <c r="B538" s="4"/>
    </row>
    <row r="539">
      <c r="A539" s="3"/>
      <c r="B539" s="4"/>
    </row>
    <row r="540">
      <c r="A540" s="3"/>
      <c r="B540" s="4"/>
    </row>
    <row r="541">
      <c r="A541" s="3"/>
      <c r="B541" s="4"/>
    </row>
    <row r="542">
      <c r="A542" s="3"/>
      <c r="B542" s="4"/>
    </row>
    <row r="543">
      <c r="A543" s="3"/>
      <c r="B543" s="4"/>
    </row>
    <row r="544">
      <c r="A544" s="3"/>
      <c r="B544" s="4"/>
    </row>
    <row r="545">
      <c r="A545" s="3"/>
      <c r="B545" s="4"/>
    </row>
    <row r="546">
      <c r="A546" s="3"/>
      <c r="B546" s="4"/>
    </row>
    <row r="547">
      <c r="A547" s="3"/>
      <c r="B547" s="4"/>
    </row>
    <row r="548">
      <c r="A548" s="3"/>
      <c r="B548" s="4"/>
    </row>
    <row r="549">
      <c r="A549" s="3"/>
      <c r="B549" s="4"/>
    </row>
    <row r="550">
      <c r="A550" s="3"/>
      <c r="B550" s="4"/>
    </row>
    <row r="551">
      <c r="A551" s="3"/>
      <c r="B551" s="4"/>
    </row>
    <row r="552">
      <c r="A552" s="3"/>
      <c r="B552" s="4"/>
    </row>
    <row r="553">
      <c r="A553" s="3"/>
      <c r="B553" s="4"/>
    </row>
    <row r="554">
      <c r="A554" s="3"/>
      <c r="B554" s="4"/>
    </row>
    <row r="555">
      <c r="A555" s="3"/>
      <c r="B555" s="4"/>
    </row>
    <row r="556">
      <c r="A556" s="3"/>
      <c r="B556" s="4"/>
    </row>
    <row r="557">
      <c r="A557" s="3"/>
      <c r="B557" s="4"/>
    </row>
    <row r="558">
      <c r="A558" s="3"/>
      <c r="B558" s="4"/>
    </row>
    <row r="559">
      <c r="A559" s="3"/>
      <c r="B559" s="4"/>
    </row>
    <row r="560">
      <c r="A560" s="3"/>
      <c r="B560" s="4"/>
    </row>
    <row r="561">
      <c r="A561" s="3"/>
      <c r="B561" s="4"/>
    </row>
    <row r="562">
      <c r="A562" s="3"/>
      <c r="B562" s="4"/>
    </row>
    <row r="563">
      <c r="A563" s="3"/>
      <c r="B563" s="4"/>
    </row>
    <row r="564">
      <c r="A564" s="3"/>
      <c r="B564" s="4"/>
    </row>
    <row r="565">
      <c r="A565" s="3"/>
      <c r="B565" s="4"/>
    </row>
    <row r="566">
      <c r="A566" s="3"/>
      <c r="B566" s="4"/>
    </row>
    <row r="567">
      <c r="A567" s="3"/>
      <c r="B567" s="4"/>
    </row>
    <row r="568">
      <c r="A568" s="3"/>
      <c r="B568" s="4"/>
    </row>
    <row r="569">
      <c r="A569" s="3"/>
      <c r="B569" s="4"/>
    </row>
    <row r="570">
      <c r="A570" s="3"/>
      <c r="B570" s="4"/>
    </row>
    <row r="571">
      <c r="A571" s="3"/>
      <c r="B571" s="4"/>
    </row>
    <row r="572">
      <c r="A572" s="3"/>
      <c r="B572" s="4"/>
    </row>
    <row r="573">
      <c r="A573" s="3"/>
      <c r="B573" s="4"/>
    </row>
    <row r="574">
      <c r="A574" s="3"/>
      <c r="B574" s="4"/>
    </row>
    <row r="575">
      <c r="A575" s="3"/>
      <c r="B575" s="4"/>
    </row>
    <row r="576">
      <c r="A576" s="3"/>
      <c r="B576" s="4"/>
    </row>
    <row r="577">
      <c r="A577" s="3"/>
      <c r="B577" s="4"/>
    </row>
    <row r="578">
      <c r="A578" s="3"/>
      <c r="B578" s="4"/>
    </row>
    <row r="579">
      <c r="A579" s="3"/>
      <c r="B579" s="4"/>
    </row>
    <row r="580">
      <c r="A580" s="3"/>
      <c r="B580" s="4"/>
    </row>
    <row r="581">
      <c r="A581" s="3"/>
      <c r="B581" s="4"/>
    </row>
    <row r="582">
      <c r="A582" s="3"/>
      <c r="B582" s="4"/>
    </row>
    <row r="583">
      <c r="A583" s="3"/>
      <c r="B583" s="4"/>
    </row>
    <row r="584">
      <c r="A584" s="3"/>
      <c r="B584" s="4"/>
    </row>
    <row r="585">
      <c r="A585" s="3"/>
      <c r="B585" s="4"/>
    </row>
    <row r="586">
      <c r="A586" s="3"/>
      <c r="B586" s="4"/>
    </row>
    <row r="587">
      <c r="A587" s="3"/>
      <c r="B587" s="4"/>
    </row>
    <row r="588">
      <c r="A588" s="3"/>
      <c r="B588" s="4"/>
    </row>
    <row r="589">
      <c r="A589" s="3"/>
      <c r="B589" s="4"/>
    </row>
    <row r="590">
      <c r="A590" s="3"/>
      <c r="B590" s="4"/>
    </row>
    <row r="591">
      <c r="A591" s="3"/>
      <c r="B591" s="4"/>
    </row>
    <row r="592">
      <c r="A592" s="3"/>
      <c r="B592" s="4"/>
    </row>
    <row r="593">
      <c r="A593" s="3"/>
      <c r="B593" s="4"/>
    </row>
    <row r="594">
      <c r="A594" s="3"/>
      <c r="B594" s="4"/>
    </row>
    <row r="595">
      <c r="A595" s="3"/>
      <c r="B595" s="4"/>
    </row>
    <row r="596">
      <c r="A596" s="3"/>
      <c r="B596" s="4"/>
    </row>
    <row r="597">
      <c r="A597" s="3"/>
      <c r="B597" s="4"/>
    </row>
    <row r="598">
      <c r="A598" s="3"/>
      <c r="B598" s="4"/>
    </row>
    <row r="599">
      <c r="A599" s="3"/>
      <c r="B599" s="4"/>
    </row>
    <row r="600">
      <c r="A600" s="3"/>
      <c r="B600" s="4"/>
    </row>
    <row r="601">
      <c r="A601" s="3"/>
      <c r="B601" s="4"/>
    </row>
    <row r="602">
      <c r="A602" s="3"/>
      <c r="B602" s="4"/>
    </row>
    <row r="603">
      <c r="A603" s="3"/>
      <c r="B603" s="4"/>
    </row>
    <row r="604">
      <c r="A604" s="3"/>
      <c r="B604" s="4"/>
    </row>
    <row r="605">
      <c r="A605" s="3"/>
      <c r="B605" s="4"/>
    </row>
    <row r="606">
      <c r="A606" s="3"/>
      <c r="B606" s="4"/>
    </row>
    <row r="607">
      <c r="A607" s="3"/>
      <c r="B607" s="4"/>
    </row>
    <row r="608">
      <c r="A608" s="3"/>
      <c r="B608" s="4"/>
    </row>
    <row r="609">
      <c r="A609" s="3"/>
      <c r="B609" s="4"/>
    </row>
    <row r="610">
      <c r="A610" s="3"/>
      <c r="B610" s="4"/>
    </row>
    <row r="611">
      <c r="A611" s="3"/>
      <c r="B611" s="4"/>
    </row>
    <row r="612">
      <c r="A612" s="3"/>
      <c r="B612" s="4"/>
    </row>
    <row r="613">
      <c r="A613" s="3"/>
      <c r="B613" s="4"/>
    </row>
    <row r="614">
      <c r="A614" s="3"/>
      <c r="B614" s="4"/>
    </row>
    <row r="615">
      <c r="A615" s="3"/>
      <c r="B615" s="4"/>
    </row>
    <row r="616">
      <c r="A616" s="3"/>
      <c r="B616" s="4"/>
    </row>
    <row r="617">
      <c r="A617" s="3"/>
      <c r="B617" s="4"/>
    </row>
    <row r="618">
      <c r="A618" s="3"/>
      <c r="B618" s="4"/>
    </row>
    <row r="619">
      <c r="A619" s="3"/>
      <c r="B619" s="4"/>
    </row>
    <row r="620">
      <c r="A620" s="3"/>
      <c r="B620" s="4"/>
    </row>
    <row r="621">
      <c r="A621" s="3"/>
      <c r="B621" s="4"/>
    </row>
    <row r="622">
      <c r="A622" s="3"/>
      <c r="B622" s="4"/>
    </row>
    <row r="623">
      <c r="A623" s="3"/>
      <c r="B623" s="4"/>
    </row>
    <row r="624">
      <c r="A624" s="3"/>
      <c r="B624" s="4"/>
    </row>
    <row r="625">
      <c r="A625" s="3"/>
      <c r="B625" s="4"/>
    </row>
    <row r="626">
      <c r="A626" s="3"/>
      <c r="B626" s="4"/>
    </row>
    <row r="627">
      <c r="A627" s="3"/>
      <c r="B627" s="4"/>
    </row>
    <row r="628">
      <c r="A628" s="3"/>
      <c r="B628" s="4"/>
    </row>
    <row r="629">
      <c r="A629" s="3"/>
      <c r="B629" s="4"/>
    </row>
    <row r="630">
      <c r="A630" s="3"/>
      <c r="B630" s="4"/>
    </row>
    <row r="631">
      <c r="A631" s="3"/>
      <c r="B631" s="4"/>
    </row>
    <row r="632">
      <c r="A632" s="3"/>
      <c r="B632" s="4"/>
    </row>
    <row r="633">
      <c r="A633" s="3"/>
      <c r="B633" s="4"/>
    </row>
    <row r="634">
      <c r="A634" s="3"/>
      <c r="B634" s="4"/>
    </row>
    <row r="635">
      <c r="A635" s="3"/>
      <c r="B635" s="4"/>
    </row>
    <row r="636">
      <c r="A636" s="3"/>
      <c r="B636" s="4"/>
    </row>
    <row r="637">
      <c r="A637" s="3"/>
      <c r="B637" s="4"/>
    </row>
    <row r="638">
      <c r="A638" s="3"/>
      <c r="B638" s="4"/>
    </row>
    <row r="639">
      <c r="A639" s="3"/>
      <c r="B639" s="4"/>
    </row>
    <row r="640">
      <c r="A640" s="3"/>
      <c r="B640" s="4"/>
    </row>
    <row r="641">
      <c r="A641" s="3"/>
      <c r="B641" s="4"/>
    </row>
    <row r="642">
      <c r="A642" s="3"/>
      <c r="B642" s="4"/>
    </row>
    <row r="643">
      <c r="A643" s="3"/>
      <c r="B643" s="4"/>
    </row>
    <row r="644">
      <c r="A644" s="3"/>
      <c r="B644" s="4"/>
    </row>
    <row r="645">
      <c r="A645" s="3"/>
      <c r="B645" s="4"/>
    </row>
    <row r="646">
      <c r="A646" s="3"/>
      <c r="B646" s="4"/>
    </row>
    <row r="647">
      <c r="A647" s="3"/>
      <c r="B647" s="4"/>
    </row>
    <row r="648">
      <c r="A648" s="3"/>
      <c r="B648" s="4"/>
    </row>
    <row r="649">
      <c r="A649" s="3"/>
      <c r="B649" s="4"/>
    </row>
    <row r="650">
      <c r="A650" s="3"/>
      <c r="B650" s="4"/>
    </row>
    <row r="651">
      <c r="A651" s="3"/>
      <c r="B651" s="4"/>
    </row>
    <row r="652">
      <c r="A652" s="3"/>
      <c r="B652" s="4"/>
    </row>
    <row r="653">
      <c r="A653" s="3"/>
      <c r="B653" s="4"/>
    </row>
    <row r="654">
      <c r="A654" s="3"/>
      <c r="B654" s="4"/>
    </row>
    <row r="655">
      <c r="A655" s="3"/>
      <c r="B655" s="4"/>
    </row>
    <row r="656">
      <c r="A656" s="3"/>
      <c r="B656" s="4"/>
    </row>
    <row r="657">
      <c r="A657" s="3"/>
      <c r="B657" s="4"/>
    </row>
    <row r="658">
      <c r="A658" s="3"/>
      <c r="B658" s="4"/>
    </row>
    <row r="659">
      <c r="A659" s="3"/>
      <c r="B659" s="4"/>
    </row>
    <row r="660">
      <c r="A660" s="3"/>
      <c r="B660" s="4"/>
    </row>
    <row r="661">
      <c r="A661" s="3"/>
      <c r="B661" s="4"/>
    </row>
    <row r="662">
      <c r="A662" s="3"/>
      <c r="B662" s="4"/>
    </row>
    <row r="663">
      <c r="A663" s="3"/>
      <c r="B663" s="4"/>
    </row>
    <row r="664">
      <c r="A664" s="3"/>
      <c r="B664" s="4"/>
    </row>
    <row r="665">
      <c r="A665" s="3"/>
      <c r="B665" s="4"/>
    </row>
    <row r="666">
      <c r="A666" s="3"/>
      <c r="B666" s="4"/>
    </row>
    <row r="667">
      <c r="A667" s="3"/>
      <c r="B667" s="4"/>
    </row>
    <row r="668">
      <c r="A668" s="3"/>
      <c r="B668" s="4"/>
    </row>
    <row r="669">
      <c r="A669" s="3"/>
      <c r="B669" s="4"/>
    </row>
    <row r="670">
      <c r="A670" s="3"/>
      <c r="B670" s="4"/>
    </row>
    <row r="671">
      <c r="A671" s="3"/>
      <c r="B671" s="4"/>
    </row>
    <row r="672">
      <c r="A672" s="3"/>
      <c r="B672" s="4"/>
    </row>
    <row r="673">
      <c r="A673" s="3"/>
      <c r="B673" s="4"/>
    </row>
    <row r="674">
      <c r="A674" s="3"/>
      <c r="B674" s="4"/>
    </row>
    <row r="675">
      <c r="A675" s="3"/>
      <c r="B675" s="4"/>
    </row>
    <row r="676">
      <c r="A676" s="3"/>
      <c r="B676" s="4"/>
    </row>
    <row r="677">
      <c r="A677" s="3"/>
      <c r="B677" s="4"/>
    </row>
    <row r="678">
      <c r="A678" s="3"/>
      <c r="B678" s="4"/>
    </row>
    <row r="679">
      <c r="A679" s="3"/>
      <c r="B679" s="4"/>
    </row>
    <row r="680">
      <c r="A680" s="3"/>
      <c r="B680" s="4"/>
    </row>
    <row r="681">
      <c r="A681" s="3"/>
      <c r="B681" s="4"/>
    </row>
    <row r="682">
      <c r="A682" s="3"/>
      <c r="B682" s="4"/>
    </row>
    <row r="683">
      <c r="A683" s="3"/>
      <c r="B683" s="4"/>
    </row>
    <row r="684">
      <c r="A684" s="3"/>
      <c r="B684" s="4"/>
    </row>
    <row r="685">
      <c r="A685" s="3"/>
      <c r="B685" s="4"/>
    </row>
    <row r="686">
      <c r="A686" s="3"/>
      <c r="B686" s="4"/>
    </row>
    <row r="687">
      <c r="A687" s="3"/>
      <c r="B687" s="4"/>
    </row>
    <row r="688">
      <c r="A688" s="3"/>
      <c r="B688" s="4"/>
    </row>
    <row r="689">
      <c r="A689" s="3"/>
      <c r="B689" s="4"/>
    </row>
    <row r="690">
      <c r="A690" s="3"/>
      <c r="B690" s="4"/>
    </row>
    <row r="691">
      <c r="A691" s="3"/>
      <c r="B691" s="4"/>
    </row>
    <row r="692">
      <c r="A692" s="3"/>
      <c r="B692" s="4"/>
    </row>
    <row r="693">
      <c r="A693" s="3"/>
      <c r="B693" s="4"/>
    </row>
    <row r="694">
      <c r="A694" s="3"/>
      <c r="B694" s="4"/>
    </row>
    <row r="695">
      <c r="A695" s="3"/>
      <c r="B695" s="4"/>
    </row>
    <row r="696">
      <c r="A696" s="3"/>
      <c r="B696" s="4"/>
    </row>
    <row r="697">
      <c r="A697" s="3"/>
      <c r="B697" s="4"/>
    </row>
    <row r="698">
      <c r="A698" s="3"/>
      <c r="B698" s="4"/>
    </row>
    <row r="699">
      <c r="A699" s="3"/>
      <c r="B699" s="4"/>
    </row>
    <row r="700">
      <c r="A700" s="3"/>
      <c r="B700" s="4"/>
    </row>
    <row r="701">
      <c r="A701" s="3"/>
      <c r="B701" s="4"/>
    </row>
    <row r="702">
      <c r="A702" s="3"/>
      <c r="B702" s="4"/>
    </row>
    <row r="703">
      <c r="A703" s="3"/>
      <c r="B703" s="4"/>
    </row>
    <row r="704">
      <c r="A704" s="3"/>
      <c r="B704" s="4"/>
    </row>
    <row r="705">
      <c r="A705" s="3"/>
      <c r="B705" s="4"/>
    </row>
    <row r="706">
      <c r="A706" s="3"/>
      <c r="B706" s="4"/>
    </row>
    <row r="707">
      <c r="A707" s="3"/>
      <c r="B707" s="4"/>
    </row>
    <row r="708">
      <c r="A708" s="3"/>
      <c r="B708" s="4"/>
    </row>
    <row r="709">
      <c r="A709" s="3"/>
      <c r="B709" s="4"/>
    </row>
    <row r="710">
      <c r="A710" s="3"/>
      <c r="B710" s="4"/>
    </row>
    <row r="711">
      <c r="A711" s="3"/>
      <c r="B711" s="4"/>
    </row>
    <row r="712">
      <c r="A712" s="3"/>
      <c r="B712" s="4"/>
    </row>
    <row r="713">
      <c r="A713" s="3"/>
      <c r="B713" s="4"/>
    </row>
    <row r="714">
      <c r="A714" s="3"/>
      <c r="B714" s="4"/>
    </row>
    <row r="715">
      <c r="A715" s="3"/>
      <c r="B715" s="4"/>
    </row>
    <row r="716">
      <c r="A716" s="3"/>
      <c r="B716" s="4"/>
    </row>
    <row r="717">
      <c r="A717" s="3"/>
      <c r="B717" s="4"/>
    </row>
    <row r="718">
      <c r="A718" s="3"/>
      <c r="B718" s="4"/>
    </row>
    <row r="719">
      <c r="A719" s="3"/>
      <c r="B719" s="4"/>
    </row>
    <row r="720">
      <c r="A720" s="3"/>
      <c r="B720" s="4"/>
    </row>
    <row r="721">
      <c r="A721" s="3"/>
      <c r="B721" s="4"/>
    </row>
    <row r="722">
      <c r="A722" s="3"/>
      <c r="B722" s="4"/>
    </row>
    <row r="723">
      <c r="A723" s="3"/>
      <c r="B723" s="4"/>
    </row>
    <row r="724">
      <c r="A724" s="3"/>
      <c r="B724" s="4"/>
    </row>
    <row r="725">
      <c r="A725" s="3"/>
      <c r="B725" s="4"/>
    </row>
    <row r="726">
      <c r="A726" s="3"/>
      <c r="B726" s="4"/>
    </row>
    <row r="727">
      <c r="A727" s="3"/>
      <c r="B727" s="4"/>
    </row>
    <row r="728">
      <c r="A728" s="3"/>
      <c r="B728" s="4"/>
    </row>
    <row r="729">
      <c r="A729" s="3"/>
      <c r="B729" s="4"/>
    </row>
    <row r="730">
      <c r="A730" s="3"/>
      <c r="B730" s="4"/>
    </row>
    <row r="731">
      <c r="A731" s="3"/>
      <c r="B731" s="4"/>
    </row>
    <row r="732">
      <c r="A732" s="3"/>
      <c r="B732" s="4"/>
    </row>
    <row r="733">
      <c r="A733" s="3"/>
      <c r="B733" s="4"/>
    </row>
    <row r="734">
      <c r="A734" s="3"/>
      <c r="B734" s="4"/>
    </row>
    <row r="735">
      <c r="A735" s="3"/>
      <c r="B735" s="4"/>
    </row>
    <row r="736">
      <c r="A736" s="3"/>
      <c r="B736" s="4"/>
    </row>
    <row r="737">
      <c r="A737" s="3"/>
      <c r="B737" s="4"/>
    </row>
    <row r="738">
      <c r="A738" s="3"/>
      <c r="B738" s="4"/>
    </row>
    <row r="739">
      <c r="A739" s="3"/>
      <c r="B739" s="4"/>
    </row>
    <row r="740">
      <c r="A740" s="3"/>
      <c r="B740" s="4"/>
    </row>
    <row r="741">
      <c r="A741" s="3"/>
      <c r="B741" s="4"/>
    </row>
    <row r="742">
      <c r="A742" s="3"/>
      <c r="B742" s="4"/>
    </row>
    <row r="743">
      <c r="A743" s="3"/>
      <c r="B743" s="4"/>
    </row>
    <row r="744">
      <c r="A744" s="3"/>
      <c r="B744" s="4"/>
    </row>
    <row r="745">
      <c r="A745" s="3"/>
      <c r="B745" s="4"/>
    </row>
    <row r="746">
      <c r="A746" s="3"/>
      <c r="B746" s="4"/>
    </row>
    <row r="747">
      <c r="A747" s="3"/>
      <c r="B747" s="4"/>
    </row>
    <row r="748">
      <c r="A748" s="3"/>
      <c r="B748" s="4"/>
    </row>
    <row r="749">
      <c r="A749" s="3"/>
      <c r="B749" s="4"/>
    </row>
    <row r="750">
      <c r="A750" s="3"/>
      <c r="B750" s="4"/>
    </row>
    <row r="751">
      <c r="A751" s="3"/>
      <c r="B751" s="4"/>
    </row>
    <row r="752">
      <c r="A752" s="3"/>
      <c r="B752" s="4"/>
    </row>
    <row r="753">
      <c r="A753" s="3"/>
      <c r="B753" s="4"/>
    </row>
    <row r="754">
      <c r="A754" s="3"/>
      <c r="B754" s="4"/>
    </row>
    <row r="755">
      <c r="A755" s="3"/>
      <c r="B755" s="4"/>
    </row>
    <row r="756">
      <c r="A756" s="3"/>
      <c r="B756" s="4"/>
    </row>
    <row r="757">
      <c r="A757" s="3"/>
      <c r="B757" s="4"/>
    </row>
    <row r="758">
      <c r="A758" s="3"/>
      <c r="B758" s="4"/>
    </row>
    <row r="759">
      <c r="A759" s="3"/>
      <c r="B759" s="4"/>
    </row>
    <row r="760">
      <c r="A760" s="3"/>
      <c r="B760" s="4"/>
    </row>
    <row r="761">
      <c r="A761" s="3"/>
      <c r="B761" s="4"/>
    </row>
    <row r="762">
      <c r="A762" s="3"/>
      <c r="B762" s="4"/>
    </row>
    <row r="763">
      <c r="A763" s="3"/>
      <c r="B763" s="4"/>
    </row>
    <row r="764">
      <c r="A764" s="3"/>
      <c r="B764" s="4"/>
    </row>
    <row r="765">
      <c r="A765" s="3"/>
      <c r="B765" s="4"/>
    </row>
    <row r="766">
      <c r="A766" s="3"/>
      <c r="B766" s="4"/>
    </row>
    <row r="767">
      <c r="A767" s="3"/>
      <c r="B767" s="4"/>
    </row>
    <row r="768">
      <c r="A768" s="3"/>
      <c r="B768" s="4"/>
    </row>
    <row r="769">
      <c r="A769" s="3"/>
      <c r="B769" s="4"/>
    </row>
    <row r="770">
      <c r="A770" s="3"/>
      <c r="B770" s="4"/>
    </row>
    <row r="771">
      <c r="A771" s="3"/>
      <c r="B771" s="4"/>
    </row>
    <row r="772">
      <c r="A772" s="3"/>
      <c r="B772" s="4"/>
    </row>
    <row r="773">
      <c r="A773" s="3"/>
      <c r="B773" s="4"/>
    </row>
    <row r="774">
      <c r="A774" s="3"/>
      <c r="B774" s="4"/>
    </row>
    <row r="775">
      <c r="A775" s="3"/>
      <c r="B775" s="4"/>
    </row>
    <row r="776">
      <c r="A776" s="3"/>
      <c r="B776" s="4"/>
    </row>
    <row r="777">
      <c r="A777" s="3"/>
      <c r="B777" s="4"/>
    </row>
    <row r="778">
      <c r="A778" s="3"/>
      <c r="B778" s="4"/>
    </row>
    <row r="779">
      <c r="A779" s="3"/>
      <c r="B779" s="4"/>
    </row>
    <row r="780">
      <c r="A780" s="3"/>
      <c r="B780" s="4"/>
    </row>
    <row r="781">
      <c r="A781" s="3"/>
      <c r="B781" s="4"/>
    </row>
    <row r="782">
      <c r="A782" s="3"/>
      <c r="B782" s="4"/>
    </row>
    <row r="783">
      <c r="A783" s="3"/>
      <c r="B783" s="4"/>
    </row>
    <row r="784">
      <c r="A784" s="3"/>
      <c r="B784" s="4"/>
    </row>
    <row r="785">
      <c r="A785" s="3"/>
      <c r="B785" s="4"/>
    </row>
    <row r="786">
      <c r="A786" s="3"/>
      <c r="B786" s="4"/>
    </row>
    <row r="787">
      <c r="A787" s="3"/>
      <c r="B787" s="4"/>
    </row>
    <row r="788">
      <c r="A788" s="3"/>
      <c r="B788" s="4"/>
    </row>
    <row r="789">
      <c r="A789" s="3"/>
      <c r="B789" s="4"/>
    </row>
    <row r="790">
      <c r="A790" s="3"/>
      <c r="B790" s="4"/>
    </row>
    <row r="791">
      <c r="A791" s="3"/>
      <c r="B791" s="4"/>
    </row>
    <row r="792">
      <c r="A792" s="3"/>
      <c r="B792" s="4"/>
    </row>
    <row r="793">
      <c r="A793" s="3"/>
      <c r="B793" s="4"/>
    </row>
    <row r="794">
      <c r="A794" s="3"/>
      <c r="B794" s="4"/>
    </row>
    <row r="795">
      <c r="A795" s="3"/>
      <c r="B795" s="4"/>
    </row>
    <row r="796">
      <c r="A796" s="3"/>
      <c r="B796" s="4"/>
    </row>
    <row r="797">
      <c r="A797" s="3"/>
      <c r="B797" s="4"/>
    </row>
    <row r="798">
      <c r="A798" s="3"/>
      <c r="B798" s="4"/>
    </row>
    <row r="799">
      <c r="A799" s="3"/>
      <c r="B799" s="4"/>
    </row>
    <row r="800">
      <c r="A800" s="3"/>
      <c r="B800" s="4"/>
    </row>
    <row r="801">
      <c r="A801" s="3"/>
      <c r="B801" s="4"/>
    </row>
    <row r="802">
      <c r="A802" s="3"/>
      <c r="B802" s="4"/>
    </row>
    <row r="803">
      <c r="A803" s="3"/>
      <c r="B803" s="4"/>
    </row>
    <row r="804">
      <c r="A804" s="3"/>
      <c r="B804" s="4"/>
    </row>
    <row r="805">
      <c r="A805" s="3"/>
      <c r="B805" s="4"/>
    </row>
    <row r="806">
      <c r="A806" s="3"/>
      <c r="B806" s="4"/>
    </row>
    <row r="807">
      <c r="A807" s="3"/>
      <c r="B807" s="4"/>
    </row>
    <row r="808">
      <c r="A808" s="3"/>
      <c r="B808" s="4"/>
    </row>
    <row r="809">
      <c r="A809" s="3"/>
      <c r="B809" s="4"/>
    </row>
    <row r="810">
      <c r="A810" s="3"/>
      <c r="B810" s="4"/>
    </row>
    <row r="811">
      <c r="A811" s="3"/>
      <c r="B811" s="4"/>
    </row>
    <row r="812">
      <c r="A812" s="3"/>
      <c r="B812" s="4"/>
    </row>
    <row r="813">
      <c r="A813" s="3"/>
      <c r="B813" s="4"/>
    </row>
    <row r="814">
      <c r="A814" s="3"/>
      <c r="B814" s="4"/>
    </row>
    <row r="815">
      <c r="A815" s="3"/>
      <c r="B815" s="4"/>
    </row>
    <row r="816">
      <c r="A816" s="3"/>
      <c r="B816" s="4"/>
    </row>
    <row r="817">
      <c r="A817" s="3"/>
      <c r="B817" s="4"/>
    </row>
    <row r="818">
      <c r="A818" s="3"/>
      <c r="B818" s="4"/>
    </row>
    <row r="819">
      <c r="A819" s="3"/>
      <c r="B819" s="4"/>
    </row>
    <row r="820">
      <c r="A820" s="3"/>
      <c r="B820" s="4"/>
    </row>
    <row r="821">
      <c r="A821" s="3"/>
      <c r="B821" s="4"/>
    </row>
    <row r="822">
      <c r="A822" s="3"/>
      <c r="B822" s="4"/>
    </row>
    <row r="823">
      <c r="A823" s="3"/>
      <c r="B823" s="4"/>
    </row>
    <row r="824">
      <c r="A824" s="3"/>
      <c r="B824" s="4"/>
    </row>
    <row r="825">
      <c r="A825" s="3"/>
      <c r="B825" s="4"/>
    </row>
    <row r="826">
      <c r="A826" s="3"/>
      <c r="B826" s="4"/>
    </row>
    <row r="827">
      <c r="A827" s="3"/>
      <c r="B827" s="4"/>
    </row>
    <row r="828">
      <c r="A828" s="3"/>
      <c r="B828" s="4"/>
    </row>
    <row r="829">
      <c r="A829" s="3"/>
      <c r="B829" s="4"/>
    </row>
    <row r="830">
      <c r="A830" s="3"/>
      <c r="B830" s="4"/>
    </row>
    <row r="831">
      <c r="A831" s="3"/>
      <c r="B831" s="4"/>
    </row>
    <row r="832">
      <c r="A832" s="3"/>
      <c r="B832" s="4"/>
    </row>
    <row r="833">
      <c r="A833" s="3"/>
      <c r="B833" s="4"/>
    </row>
    <row r="834">
      <c r="A834" s="3"/>
      <c r="B834" s="4"/>
    </row>
    <row r="835">
      <c r="A835" s="3"/>
      <c r="B835" s="4"/>
    </row>
    <row r="836">
      <c r="A836" s="3"/>
      <c r="B836" s="4"/>
    </row>
    <row r="837">
      <c r="A837" s="3"/>
      <c r="B837" s="4"/>
    </row>
    <row r="838">
      <c r="A838" s="3"/>
      <c r="B838" s="4"/>
    </row>
    <row r="839">
      <c r="A839" s="3"/>
      <c r="B839" s="4"/>
    </row>
    <row r="840">
      <c r="A840" s="3"/>
      <c r="B840" s="4"/>
    </row>
    <row r="841">
      <c r="A841" s="3"/>
      <c r="B841" s="4"/>
    </row>
    <row r="842">
      <c r="A842" s="3"/>
      <c r="B842" s="4"/>
    </row>
    <row r="843">
      <c r="A843" s="3"/>
      <c r="B843" s="4"/>
    </row>
    <row r="844">
      <c r="A844" s="3"/>
      <c r="B844" s="4"/>
    </row>
    <row r="845">
      <c r="A845" s="3"/>
      <c r="B845" s="4"/>
    </row>
    <row r="846">
      <c r="A846" s="3"/>
      <c r="B846" s="4"/>
    </row>
    <row r="847">
      <c r="A847" s="3"/>
      <c r="B847" s="4"/>
    </row>
    <row r="848">
      <c r="A848" s="3"/>
      <c r="B848" s="4"/>
    </row>
    <row r="849">
      <c r="A849" s="3"/>
      <c r="B849" s="4"/>
    </row>
    <row r="850">
      <c r="A850" s="3"/>
      <c r="B850" s="4"/>
    </row>
    <row r="851">
      <c r="A851" s="3"/>
      <c r="B851" s="4"/>
    </row>
    <row r="852">
      <c r="A852" s="3"/>
      <c r="B852" s="4"/>
    </row>
    <row r="853">
      <c r="A853" s="3"/>
      <c r="B853" s="4"/>
    </row>
    <row r="854">
      <c r="A854" s="3"/>
      <c r="B854" s="4"/>
    </row>
    <row r="855">
      <c r="A855" s="3"/>
      <c r="B855" s="4"/>
    </row>
    <row r="856">
      <c r="A856" s="3"/>
      <c r="B856" s="4"/>
    </row>
    <row r="857">
      <c r="A857" s="3"/>
      <c r="B857" s="4"/>
    </row>
    <row r="858">
      <c r="A858" s="3"/>
      <c r="B858" s="4"/>
    </row>
    <row r="859">
      <c r="A859" s="3"/>
      <c r="B859" s="4"/>
    </row>
    <row r="860">
      <c r="A860" s="3"/>
      <c r="B860" s="4"/>
    </row>
    <row r="861">
      <c r="A861" s="3"/>
      <c r="B861" s="4"/>
    </row>
    <row r="862">
      <c r="A862" s="3"/>
      <c r="B862" s="4"/>
    </row>
    <row r="863">
      <c r="A863" s="3"/>
      <c r="B863" s="4"/>
    </row>
    <row r="864">
      <c r="A864" s="3"/>
      <c r="B864" s="4"/>
    </row>
    <row r="865">
      <c r="A865" s="3"/>
      <c r="B865" s="4"/>
    </row>
    <row r="866">
      <c r="A866" s="3"/>
      <c r="B866" s="4"/>
    </row>
    <row r="867">
      <c r="A867" s="3"/>
      <c r="B867" s="4"/>
    </row>
    <row r="868">
      <c r="A868" s="3"/>
      <c r="B868" s="4"/>
    </row>
    <row r="869">
      <c r="A869" s="3"/>
      <c r="B869" s="4"/>
    </row>
    <row r="870">
      <c r="A870" s="3"/>
      <c r="B870" s="4"/>
    </row>
    <row r="871">
      <c r="A871" s="3"/>
      <c r="B871" s="4"/>
    </row>
    <row r="872">
      <c r="A872" s="3"/>
      <c r="B872" s="4"/>
    </row>
    <row r="873">
      <c r="A873" s="3"/>
      <c r="B873" s="4"/>
    </row>
    <row r="874">
      <c r="A874" s="3"/>
      <c r="B874" s="4"/>
    </row>
    <row r="875">
      <c r="A875" s="3"/>
      <c r="B875" s="4"/>
    </row>
    <row r="876">
      <c r="A876" s="3"/>
      <c r="B876" s="4"/>
    </row>
    <row r="877">
      <c r="A877" s="3"/>
      <c r="B877" s="4"/>
    </row>
    <row r="878">
      <c r="A878" s="3"/>
      <c r="B878" s="4"/>
    </row>
    <row r="879">
      <c r="A879" s="3"/>
      <c r="B879" s="4"/>
    </row>
    <row r="880">
      <c r="A880" s="3"/>
      <c r="B880" s="4"/>
    </row>
    <row r="881">
      <c r="A881" s="3"/>
      <c r="B881" s="4"/>
    </row>
    <row r="882">
      <c r="A882" s="3"/>
      <c r="B882" s="4"/>
    </row>
    <row r="883">
      <c r="A883" s="3"/>
      <c r="B883" s="4"/>
    </row>
    <row r="884">
      <c r="A884" s="3"/>
      <c r="B884" s="4"/>
    </row>
    <row r="885">
      <c r="A885" s="3"/>
      <c r="B885" s="4"/>
    </row>
    <row r="886">
      <c r="A886" s="3"/>
      <c r="B886" s="4"/>
    </row>
    <row r="887">
      <c r="A887" s="3"/>
      <c r="B887" s="4"/>
    </row>
    <row r="888">
      <c r="A888" s="3"/>
      <c r="B888" s="4"/>
    </row>
    <row r="889">
      <c r="A889" s="3"/>
      <c r="B889" s="4"/>
    </row>
    <row r="890">
      <c r="A890" s="3"/>
      <c r="B890" s="4"/>
    </row>
    <row r="891">
      <c r="A891" s="3"/>
      <c r="B891" s="4"/>
    </row>
    <row r="892">
      <c r="A892" s="3"/>
      <c r="B892" s="4"/>
    </row>
    <row r="893">
      <c r="A893" s="3"/>
      <c r="B893" s="4"/>
    </row>
    <row r="894">
      <c r="A894" s="3"/>
      <c r="B894" s="4"/>
    </row>
    <row r="895">
      <c r="A895" s="3"/>
      <c r="B895" s="4"/>
    </row>
    <row r="896">
      <c r="A896" s="3"/>
      <c r="B896" s="4"/>
    </row>
    <row r="897">
      <c r="A897" s="3"/>
      <c r="B897" s="4"/>
    </row>
    <row r="898">
      <c r="A898" s="3"/>
      <c r="B898" s="4"/>
    </row>
    <row r="899">
      <c r="A899" s="3"/>
      <c r="B899" s="4"/>
    </row>
    <row r="900">
      <c r="A900" s="3"/>
      <c r="B900" s="4"/>
    </row>
    <row r="901">
      <c r="A901" s="3"/>
      <c r="B901" s="4"/>
    </row>
    <row r="902">
      <c r="A902" s="3"/>
      <c r="B902" s="4"/>
    </row>
    <row r="903">
      <c r="A903" s="3"/>
      <c r="B903" s="4"/>
    </row>
    <row r="904">
      <c r="A904" s="3"/>
      <c r="B904" s="4"/>
    </row>
    <row r="905">
      <c r="A905" s="3"/>
      <c r="B905" s="4"/>
    </row>
    <row r="906">
      <c r="A906" s="3"/>
      <c r="B906" s="4"/>
    </row>
    <row r="907">
      <c r="A907" s="3"/>
      <c r="B907" s="4"/>
    </row>
    <row r="908">
      <c r="A908" s="3"/>
      <c r="B908" s="4"/>
    </row>
    <row r="909">
      <c r="A909" s="3"/>
      <c r="B909" s="4"/>
    </row>
    <row r="910">
      <c r="A910" s="3"/>
      <c r="B910" s="4"/>
    </row>
    <row r="911">
      <c r="A911" s="3"/>
      <c r="B911" s="4"/>
    </row>
    <row r="912">
      <c r="A912" s="3"/>
      <c r="B912" s="4"/>
    </row>
    <row r="913">
      <c r="A913" s="3"/>
      <c r="B913" s="4"/>
    </row>
    <row r="914">
      <c r="A914" s="3"/>
      <c r="B914" s="4"/>
    </row>
    <row r="915">
      <c r="A915" s="3"/>
      <c r="B915" s="4"/>
    </row>
    <row r="916">
      <c r="A916" s="3"/>
      <c r="B916" s="4"/>
    </row>
    <row r="917">
      <c r="A917" s="3"/>
      <c r="B917" s="4"/>
    </row>
    <row r="918">
      <c r="A918" s="3"/>
      <c r="B918" s="4"/>
    </row>
    <row r="919">
      <c r="A919" s="3"/>
      <c r="B919" s="4"/>
    </row>
    <row r="920">
      <c r="A920" s="3"/>
      <c r="B920" s="4"/>
    </row>
    <row r="921">
      <c r="A921" s="3"/>
      <c r="B921" s="4"/>
    </row>
    <row r="922">
      <c r="A922" s="3"/>
      <c r="B922" s="4"/>
    </row>
    <row r="923">
      <c r="A923" s="3"/>
      <c r="B923" s="4"/>
    </row>
    <row r="924">
      <c r="A924" s="3"/>
      <c r="B924" s="4"/>
    </row>
    <row r="925">
      <c r="A925" s="3"/>
      <c r="B925" s="4"/>
    </row>
    <row r="926">
      <c r="A926" s="3"/>
      <c r="B926" s="4"/>
    </row>
    <row r="927">
      <c r="A927" s="3"/>
      <c r="B927" s="4"/>
    </row>
    <row r="928">
      <c r="A928" s="3"/>
      <c r="B928" s="4"/>
    </row>
    <row r="929">
      <c r="A929" s="3"/>
      <c r="B929" s="4"/>
    </row>
    <row r="930">
      <c r="A930" s="3"/>
      <c r="B930" s="4"/>
    </row>
    <row r="931">
      <c r="A931" s="3"/>
      <c r="B931" s="4"/>
    </row>
    <row r="932">
      <c r="A932" s="3"/>
      <c r="B932" s="4"/>
    </row>
    <row r="933">
      <c r="A933" s="3"/>
      <c r="B933" s="4"/>
    </row>
    <row r="934">
      <c r="A934" s="3"/>
      <c r="B934" s="4"/>
    </row>
    <row r="935">
      <c r="A935" s="3"/>
      <c r="B935" s="4"/>
    </row>
    <row r="936">
      <c r="A936" s="3"/>
      <c r="B936" s="4"/>
    </row>
    <row r="937">
      <c r="A937" s="3"/>
      <c r="B937" s="4"/>
    </row>
    <row r="938">
      <c r="A938" s="3"/>
      <c r="B938" s="4"/>
    </row>
    <row r="939">
      <c r="A939" s="3"/>
      <c r="B939" s="4"/>
    </row>
    <row r="940">
      <c r="A940" s="3"/>
      <c r="B940" s="4"/>
    </row>
    <row r="941">
      <c r="A941" s="3"/>
      <c r="B941" s="4"/>
    </row>
    <row r="942">
      <c r="A942" s="3"/>
      <c r="B942" s="4"/>
    </row>
    <row r="943">
      <c r="A943" s="3"/>
      <c r="B943" s="4"/>
    </row>
    <row r="944">
      <c r="A944" s="3"/>
      <c r="B944" s="4"/>
    </row>
    <row r="945">
      <c r="A945" s="3"/>
      <c r="B945" s="4"/>
    </row>
    <row r="946">
      <c r="A946" s="3"/>
      <c r="B946" s="4"/>
    </row>
    <row r="947">
      <c r="A947" s="3"/>
      <c r="B947" s="4"/>
    </row>
    <row r="948">
      <c r="A948" s="3"/>
      <c r="B948" s="4"/>
    </row>
    <row r="949">
      <c r="A949" s="3"/>
      <c r="B949" s="4"/>
    </row>
    <row r="950">
      <c r="A950" s="3"/>
      <c r="B950" s="4"/>
    </row>
    <row r="951">
      <c r="A951" s="3"/>
      <c r="B951" s="4"/>
    </row>
    <row r="952">
      <c r="A952" s="3"/>
      <c r="B952" s="4"/>
    </row>
    <row r="953">
      <c r="A953" s="3"/>
      <c r="B953" s="4"/>
    </row>
    <row r="954">
      <c r="A954" s="3"/>
      <c r="B954" s="4"/>
    </row>
    <row r="955">
      <c r="A955" s="3"/>
      <c r="B955" s="4"/>
    </row>
    <row r="956">
      <c r="A956" s="3"/>
      <c r="B956" s="4"/>
    </row>
    <row r="957">
      <c r="A957" s="3"/>
      <c r="B957" s="4"/>
    </row>
    <row r="958">
      <c r="A958" s="3"/>
      <c r="B958" s="4"/>
    </row>
    <row r="959">
      <c r="A959" s="3"/>
      <c r="B959" s="4"/>
    </row>
    <row r="960">
      <c r="A960" s="3"/>
      <c r="B960" s="4"/>
    </row>
    <row r="961">
      <c r="A961" s="3"/>
      <c r="B961" s="4"/>
    </row>
    <row r="962">
      <c r="A962" s="3"/>
      <c r="B962" s="4"/>
    </row>
    <row r="963">
      <c r="A963" s="3"/>
      <c r="B963" s="4"/>
    </row>
    <row r="964">
      <c r="A964" s="3"/>
      <c r="B964" s="4"/>
    </row>
    <row r="965">
      <c r="A965" s="3"/>
      <c r="B965" s="4"/>
    </row>
    <row r="966">
      <c r="A966" s="3"/>
      <c r="B966" s="4"/>
    </row>
    <row r="967">
      <c r="A967" s="3"/>
      <c r="B967" s="4"/>
    </row>
    <row r="968">
      <c r="A968" s="3"/>
      <c r="B968" s="4"/>
    </row>
    <row r="969">
      <c r="A969" s="3"/>
      <c r="B969" s="4"/>
    </row>
    <row r="970">
      <c r="A970" s="3"/>
      <c r="B970" s="4"/>
    </row>
    <row r="971">
      <c r="A971" s="3"/>
      <c r="B971" s="4"/>
    </row>
    <row r="972">
      <c r="A972" s="3"/>
      <c r="B972" s="4"/>
    </row>
    <row r="973">
      <c r="A973" s="3"/>
      <c r="B973" s="4"/>
    </row>
    <row r="974">
      <c r="A974" s="3"/>
      <c r="B974" s="4"/>
    </row>
    <row r="975">
      <c r="A975" s="3"/>
      <c r="B975" s="4"/>
    </row>
    <row r="976">
      <c r="A976" s="3"/>
      <c r="B976" s="4"/>
    </row>
    <row r="977">
      <c r="A977" s="3"/>
      <c r="B977" s="4"/>
    </row>
    <row r="978">
      <c r="A978" s="3"/>
      <c r="B978" s="4"/>
    </row>
    <row r="979">
      <c r="A979" s="3"/>
      <c r="B979" s="4"/>
    </row>
    <row r="980">
      <c r="A980" s="3"/>
      <c r="B980" s="4"/>
    </row>
    <row r="981">
      <c r="A981" s="3"/>
      <c r="B981" s="4"/>
    </row>
    <row r="982">
      <c r="A982" s="3"/>
      <c r="B982" s="4"/>
    </row>
    <row r="983">
      <c r="A983" s="3"/>
      <c r="B983" s="4"/>
    </row>
    <row r="984">
      <c r="A984" s="3"/>
      <c r="B984" s="4"/>
    </row>
    <row r="985">
      <c r="A985" s="3"/>
      <c r="B985" s="4"/>
    </row>
    <row r="986">
      <c r="A986" s="3"/>
      <c r="B986" s="4"/>
    </row>
    <row r="987">
      <c r="A987" s="3"/>
      <c r="B987" s="4"/>
    </row>
    <row r="988">
      <c r="A988" s="3"/>
      <c r="B988" s="4"/>
    </row>
    <row r="989">
      <c r="A989" s="3"/>
      <c r="B989" s="4"/>
    </row>
    <row r="990">
      <c r="A990" s="3"/>
      <c r="B990" s="4"/>
    </row>
    <row r="991">
      <c r="A991" s="3"/>
      <c r="B991" s="4"/>
    </row>
    <row r="992">
      <c r="A992" s="3"/>
      <c r="B992" s="4"/>
    </row>
    <row r="993">
      <c r="A993" s="3"/>
      <c r="B993" s="4"/>
    </row>
    <row r="994">
      <c r="A994" s="3"/>
      <c r="B994" s="4"/>
    </row>
    <row r="995">
      <c r="A995" s="3"/>
      <c r="B995" s="4"/>
    </row>
    <row r="996">
      <c r="A996" s="3"/>
      <c r="B996" s="4"/>
    </row>
    <row r="997">
      <c r="A997" s="3"/>
      <c r="B997" s="4"/>
    </row>
    <row r="998">
      <c r="A998" s="3"/>
      <c r="B998" s="4"/>
    </row>
    <row r="999">
      <c r="A999" s="3"/>
      <c r="B999" s="4"/>
    </row>
    <row r="1000">
      <c r="A1000" s="3"/>
      <c r="B1000" s="4"/>
    </row>
    <row r="1001">
      <c r="A1001" s="3"/>
      <c r="B1001" s="4"/>
    </row>
    <row r="1002">
      <c r="A1002" s="3"/>
      <c r="B1002"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4</v>
      </c>
    </row>
    <row r="2">
      <c r="A2" s="8">
        <v>45986.0</v>
      </c>
      <c r="B2" s="6">
        <v>87342.0</v>
      </c>
      <c r="C2" s="9">
        <f t="shared" ref="C2:C7" si="1">(B2-B3)/B3*100</f>
        <v>-1.052440779</v>
      </c>
    </row>
    <row r="3">
      <c r="A3" s="10">
        <v>45985.0</v>
      </c>
      <c r="B3" s="6">
        <v>88271.0</v>
      </c>
      <c r="C3" s="9">
        <f t="shared" si="1"/>
        <v>-0.6617225042</v>
      </c>
    </row>
    <row r="4">
      <c r="A4" s="11">
        <v>45984.0</v>
      </c>
      <c r="B4" s="12">
        <v>88859.0</v>
      </c>
      <c r="C4" s="9">
        <f t="shared" si="1"/>
        <v>4.974718836</v>
      </c>
    </row>
    <row r="5">
      <c r="A5" s="13">
        <v>45983.0</v>
      </c>
      <c r="B5" s="14">
        <v>84648.0</v>
      </c>
      <c r="C5" s="9">
        <f t="shared" si="1"/>
        <v>-0.5206191019</v>
      </c>
    </row>
    <row r="6">
      <c r="A6" s="13">
        <v>45982.0</v>
      </c>
      <c r="B6" s="14">
        <v>85091.0</v>
      </c>
      <c r="C6" s="9">
        <f t="shared" si="1"/>
        <v>-1.77765465</v>
      </c>
    </row>
    <row r="7">
      <c r="A7" s="13">
        <v>45981.0</v>
      </c>
      <c r="B7" s="14">
        <v>86631.0</v>
      </c>
      <c r="C7" s="9" t="str">
        <f t="shared" si="1"/>
        <v>#DIV/0!</v>
      </c>
    </row>
    <row r="8">
      <c r="C8" s="9"/>
    </row>
    <row r="9">
      <c r="C9" s="9"/>
    </row>
    <row r="10">
      <c r="C10" s="9"/>
    </row>
    <row r="11">
      <c r="C11" s="9"/>
    </row>
    <row r="12">
      <c r="C12" s="9"/>
    </row>
    <row r="13">
      <c r="C13" s="9"/>
    </row>
    <row r="14">
      <c r="C14" s="9"/>
      <c r="D14" s="15" t="s">
        <v>5</v>
      </c>
    </row>
    <row r="15">
      <c r="C15" s="9"/>
      <c r="D15" s="15" t="s">
        <v>6</v>
      </c>
    </row>
    <row r="16">
      <c r="C16" s="9"/>
      <c r="D16" s="15" t="s">
        <v>7</v>
      </c>
    </row>
    <row r="17">
      <c r="C17" s="9"/>
    </row>
    <row r="18">
      <c r="C18" s="9"/>
    </row>
    <row r="19">
      <c r="C19" s="9"/>
    </row>
    <row r="20">
      <c r="C20" s="9"/>
    </row>
    <row r="21">
      <c r="C21" s="9"/>
    </row>
    <row r="22">
      <c r="C22" s="9"/>
    </row>
    <row r="23">
      <c r="C23" s="9"/>
    </row>
    <row r="24">
      <c r="C24" s="9"/>
    </row>
    <row r="25">
      <c r="C25" s="9"/>
    </row>
    <row r="26">
      <c r="C26" s="9"/>
    </row>
    <row r="27">
      <c r="C27" s="9"/>
    </row>
    <row r="28">
      <c r="C28" s="9"/>
    </row>
    <row r="29">
      <c r="C29" s="9"/>
    </row>
    <row r="30">
      <c r="C30" s="9"/>
    </row>
    <row r="31">
      <c r="C31" s="9"/>
    </row>
    <row r="32">
      <c r="C32" s="9"/>
    </row>
    <row r="33">
      <c r="C33" s="9"/>
    </row>
    <row r="34">
      <c r="C34" s="9"/>
    </row>
    <row r="35">
      <c r="C35" s="9"/>
    </row>
    <row r="36">
      <c r="C36" s="9"/>
    </row>
    <row r="37">
      <c r="C37" s="9"/>
    </row>
    <row r="38">
      <c r="C38" s="9"/>
    </row>
    <row r="39">
      <c r="C39" s="9"/>
    </row>
    <row r="40">
      <c r="C40" s="9"/>
    </row>
    <row r="41">
      <c r="C41" s="9"/>
    </row>
    <row r="42">
      <c r="C42" s="9"/>
    </row>
    <row r="43">
      <c r="C43" s="9"/>
    </row>
    <row r="44">
      <c r="C44" s="9"/>
    </row>
    <row r="45">
      <c r="C45" s="9"/>
    </row>
    <row r="46">
      <c r="C46" s="9"/>
    </row>
    <row r="47">
      <c r="C47" s="9"/>
    </row>
    <row r="48">
      <c r="C48" s="9"/>
    </row>
    <row r="49">
      <c r="C49" s="9"/>
    </row>
    <row r="50">
      <c r="C50" s="9"/>
    </row>
    <row r="51">
      <c r="C51" s="9"/>
    </row>
    <row r="52">
      <c r="C52" s="9"/>
    </row>
    <row r="53">
      <c r="C53" s="9"/>
    </row>
    <row r="54">
      <c r="C54" s="9"/>
    </row>
    <row r="55">
      <c r="C55" s="9"/>
    </row>
    <row r="56">
      <c r="C56" s="9"/>
    </row>
    <row r="57">
      <c r="C57" s="9"/>
    </row>
    <row r="58">
      <c r="C58" s="9"/>
    </row>
    <row r="59">
      <c r="C59" s="9"/>
    </row>
    <row r="60">
      <c r="C60" s="9"/>
    </row>
    <row r="61">
      <c r="C61" s="9"/>
    </row>
    <row r="62">
      <c r="C62" s="9"/>
    </row>
    <row r="63">
      <c r="C63" s="9"/>
    </row>
    <row r="64">
      <c r="C64" s="9"/>
    </row>
    <row r="65">
      <c r="C65" s="9"/>
    </row>
    <row r="66">
      <c r="C66" s="9"/>
    </row>
    <row r="67">
      <c r="C67" s="9"/>
    </row>
    <row r="68">
      <c r="C68" s="9"/>
    </row>
    <row r="69">
      <c r="C69" s="9"/>
    </row>
    <row r="70">
      <c r="C70" s="9"/>
    </row>
    <row r="71">
      <c r="C71" s="9"/>
    </row>
    <row r="72">
      <c r="C72" s="9"/>
    </row>
    <row r="73">
      <c r="C73" s="9"/>
    </row>
    <row r="74">
      <c r="C74" s="9"/>
    </row>
    <row r="75">
      <c r="C75" s="9"/>
    </row>
    <row r="76">
      <c r="C76" s="9"/>
    </row>
    <row r="77">
      <c r="C77" s="9"/>
    </row>
    <row r="78">
      <c r="C78" s="9"/>
    </row>
    <row r="79">
      <c r="C79" s="9"/>
    </row>
    <row r="80">
      <c r="C80" s="9"/>
    </row>
    <row r="81">
      <c r="C81" s="9"/>
    </row>
    <row r="82">
      <c r="C82" s="9"/>
    </row>
    <row r="83">
      <c r="C83" s="9"/>
    </row>
    <row r="84">
      <c r="C84" s="9"/>
    </row>
    <row r="85">
      <c r="C85" s="9"/>
    </row>
    <row r="86">
      <c r="C86" s="9"/>
    </row>
    <row r="87">
      <c r="C87" s="9"/>
    </row>
    <row r="88">
      <c r="C88" s="9"/>
    </row>
    <row r="89">
      <c r="C89" s="9"/>
    </row>
    <row r="90">
      <c r="C90" s="9"/>
    </row>
    <row r="91">
      <c r="C91" s="9"/>
    </row>
    <row r="92">
      <c r="C92" s="9"/>
    </row>
    <row r="93">
      <c r="C93" s="9"/>
    </row>
    <row r="94">
      <c r="C94" s="9"/>
    </row>
    <row r="95">
      <c r="C95" s="9"/>
    </row>
    <row r="96">
      <c r="C96" s="9"/>
    </row>
    <row r="97">
      <c r="C97" s="9"/>
    </row>
    <row r="98">
      <c r="C98" s="9"/>
    </row>
    <row r="99">
      <c r="C99" s="9"/>
    </row>
    <row r="100">
      <c r="C100" s="9"/>
    </row>
    <row r="101">
      <c r="C101" s="9"/>
    </row>
    <row r="102">
      <c r="C102" s="9"/>
    </row>
    <row r="103">
      <c r="C103" s="9"/>
    </row>
    <row r="104">
      <c r="C104" s="9"/>
    </row>
    <row r="105">
      <c r="C105" s="9"/>
    </row>
    <row r="106">
      <c r="C106" s="9"/>
    </row>
    <row r="107">
      <c r="C107" s="9"/>
    </row>
    <row r="108">
      <c r="C108" s="9"/>
    </row>
    <row r="109">
      <c r="C109" s="9"/>
    </row>
    <row r="110">
      <c r="C110" s="9"/>
    </row>
    <row r="111">
      <c r="C111" s="9"/>
    </row>
    <row r="112">
      <c r="C112" s="9"/>
    </row>
    <row r="113">
      <c r="C113" s="9"/>
    </row>
    <row r="114">
      <c r="C114" s="9"/>
    </row>
    <row r="115">
      <c r="C115" s="9"/>
    </row>
    <row r="116">
      <c r="C116" s="9"/>
    </row>
    <row r="117">
      <c r="C117" s="9"/>
    </row>
    <row r="118">
      <c r="C118" s="9"/>
    </row>
    <row r="119">
      <c r="C119" s="9"/>
    </row>
    <row r="120">
      <c r="C120" s="9"/>
    </row>
    <row r="121">
      <c r="C121" s="9"/>
    </row>
    <row r="122">
      <c r="C122" s="9"/>
    </row>
    <row r="123">
      <c r="C123" s="9"/>
    </row>
    <row r="124">
      <c r="C124" s="9"/>
    </row>
    <row r="125">
      <c r="C125" s="9"/>
    </row>
    <row r="126">
      <c r="C126" s="9"/>
    </row>
    <row r="127">
      <c r="C127" s="9"/>
    </row>
    <row r="128">
      <c r="C128" s="9"/>
    </row>
    <row r="129">
      <c r="C129" s="9"/>
    </row>
    <row r="130">
      <c r="C130" s="9"/>
    </row>
    <row r="131">
      <c r="C131" s="9"/>
    </row>
    <row r="132">
      <c r="C132" s="9"/>
    </row>
    <row r="133">
      <c r="C133" s="9"/>
    </row>
    <row r="134">
      <c r="C134" s="9"/>
    </row>
    <row r="135">
      <c r="C135" s="9"/>
    </row>
    <row r="136">
      <c r="C136" s="9"/>
    </row>
    <row r="137">
      <c r="C137" s="9"/>
    </row>
    <row r="138">
      <c r="C138" s="9"/>
    </row>
    <row r="139">
      <c r="C139" s="9"/>
    </row>
    <row r="140">
      <c r="C140" s="9"/>
    </row>
    <row r="141">
      <c r="C141" s="9"/>
    </row>
    <row r="142">
      <c r="C142" s="9"/>
    </row>
    <row r="143">
      <c r="C143" s="9"/>
    </row>
    <row r="144">
      <c r="C144" s="9"/>
    </row>
    <row r="145">
      <c r="C145" s="9"/>
    </row>
    <row r="146">
      <c r="C146" s="9"/>
    </row>
    <row r="147">
      <c r="C147" s="9"/>
    </row>
    <row r="148">
      <c r="C148" s="9"/>
    </row>
    <row r="149">
      <c r="C149" s="9"/>
    </row>
    <row r="150">
      <c r="C150" s="9"/>
    </row>
    <row r="151">
      <c r="C151" s="9"/>
    </row>
    <row r="152">
      <c r="C152" s="9"/>
    </row>
    <row r="153">
      <c r="C153" s="9"/>
    </row>
    <row r="154">
      <c r="C154" s="9"/>
    </row>
    <row r="155">
      <c r="C155" s="9"/>
    </row>
    <row r="156">
      <c r="C156" s="9"/>
    </row>
    <row r="157">
      <c r="C157" s="9"/>
    </row>
    <row r="158">
      <c r="C158" s="9"/>
    </row>
    <row r="159">
      <c r="C159" s="9"/>
    </row>
    <row r="160">
      <c r="C160" s="9"/>
    </row>
    <row r="161">
      <c r="C161" s="9"/>
    </row>
    <row r="162">
      <c r="C162" s="9"/>
    </row>
    <row r="163">
      <c r="C163" s="9"/>
    </row>
    <row r="164">
      <c r="C164" s="9"/>
    </row>
    <row r="165">
      <c r="C165" s="9"/>
    </row>
    <row r="166">
      <c r="C166" s="9"/>
    </row>
    <row r="167">
      <c r="C167" s="9"/>
    </row>
    <row r="168">
      <c r="C168" s="9"/>
    </row>
    <row r="169">
      <c r="C169" s="9"/>
    </row>
    <row r="170">
      <c r="C170" s="9"/>
    </row>
    <row r="171">
      <c r="C171" s="9"/>
    </row>
    <row r="172">
      <c r="C172" s="9"/>
    </row>
    <row r="173">
      <c r="C173" s="9"/>
    </row>
    <row r="174">
      <c r="C174" s="9"/>
    </row>
    <row r="175">
      <c r="C175" s="9"/>
    </row>
    <row r="176">
      <c r="C176" s="9"/>
    </row>
    <row r="177">
      <c r="C177" s="9"/>
    </row>
    <row r="178">
      <c r="C178" s="9"/>
    </row>
    <row r="179">
      <c r="C179" s="9"/>
    </row>
    <row r="180">
      <c r="C180" s="9"/>
    </row>
    <row r="181">
      <c r="C181" s="9"/>
    </row>
    <row r="182">
      <c r="C182" s="9"/>
    </row>
    <row r="183">
      <c r="C183" s="9"/>
    </row>
    <row r="184">
      <c r="C184" s="9"/>
    </row>
    <row r="185">
      <c r="C185" s="9"/>
    </row>
    <row r="186">
      <c r="C186" s="9"/>
    </row>
    <row r="187">
      <c r="C187" s="9"/>
    </row>
    <row r="188">
      <c r="C188" s="9"/>
    </row>
    <row r="189">
      <c r="C189" s="9"/>
    </row>
    <row r="190">
      <c r="C190" s="9"/>
    </row>
    <row r="191">
      <c r="C191" s="9"/>
    </row>
    <row r="192">
      <c r="C192" s="9"/>
    </row>
    <row r="193">
      <c r="C193" s="9"/>
    </row>
    <row r="194">
      <c r="C194" s="9"/>
    </row>
    <row r="195">
      <c r="C195" s="9"/>
    </row>
    <row r="196">
      <c r="C196" s="9"/>
    </row>
    <row r="197">
      <c r="C197" s="9"/>
    </row>
    <row r="198">
      <c r="C198" s="9"/>
    </row>
    <row r="199">
      <c r="C199" s="9"/>
    </row>
    <row r="200">
      <c r="C200" s="9"/>
    </row>
    <row r="201">
      <c r="C201" s="9"/>
    </row>
    <row r="202">
      <c r="C202" s="9"/>
    </row>
    <row r="203">
      <c r="C203" s="9"/>
    </row>
    <row r="204">
      <c r="C204" s="9"/>
    </row>
    <row r="205">
      <c r="C205" s="9"/>
    </row>
    <row r="206">
      <c r="C206" s="9"/>
    </row>
    <row r="207">
      <c r="C207" s="9"/>
    </row>
    <row r="208">
      <c r="C208" s="9"/>
    </row>
    <row r="209">
      <c r="C209" s="9"/>
    </row>
    <row r="210">
      <c r="C210" s="9"/>
    </row>
    <row r="211">
      <c r="C211" s="9"/>
    </row>
    <row r="212">
      <c r="C212" s="9"/>
    </row>
    <row r="213">
      <c r="C213" s="9"/>
    </row>
    <row r="214">
      <c r="C214" s="9"/>
    </row>
    <row r="215">
      <c r="C215" s="9"/>
    </row>
    <row r="216">
      <c r="C216" s="9"/>
    </row>
    <row r="217">
      <c r="C217" s="9"/>
    </row>
    <row r="218">
      <c r="C218" s="9"/>
    </row>
    <row r="219">
      <c r="C219" s="9"/>
    </row>
    <row r="220">
      <c r="C220" s="9"/>
    </row>
    <row r="221">
      <c r="C221" s="9"/>
    </row>
    <row r="222">
      <c r="C222" s="9"/>
    </row>
    <row r="223">
      <c r="C223" s="9"/>
    </row>
    <row r="224">
      <c r="C224" s="9"/>
    </row>
    <row r="225">
      <c r="C225" s="9"/>
    </row>
    <row r="226">
      <c r="C226" s="9"/>
    </row>
    <row r="227">
      <c r="C227" s="9"/>
    </row>
    <row r="228">
      <c r="C228" s="9"/>
    </row>
    <row r="229">
      <c r="C229" s="9"/>
    </row>
    <row r="230">
      <c r="C230" s="9"/>
    </row>
    <row r="231">
      <c r="C231" s="9"/>
    </row>
    <row r="232">
      <c r="C232" s="9"/>
    </row>
    <row r="233">
      <c r="C233" s="9"/>
    </row>
    <row r="234">
      <c r="C234" s="9"/>
    </row>
    <row r="235">
      <c r="C235" s="9"/>
    </row>
    <row r="236">
      <c r="C236" s="9"/>
    </row>
    <row r="237">
      <c r="C237" s="9"/>
    </row>
    <row r="238">
      <c r="C238" s="9"/>
    </row>
    <row r="239">
      <c r="C239" s="9"/>
    </row>
    <row r="240">
      <c r="C240" s="9"/>
    </row>
    <row r="241">
      <c r="C241" s="9"/>
    </row>
    <row r="242">
      <c r="C242" s="9"/>
    </row>
    <row r="243">
      <c r="C243" s="9"/>
    </row>
    <row r="244">
      <c r="C244" s="9"/>
    </row>
    <row r="245">
      <c r="C245" s="9"/>
    </row>
    <row r="246">
      <c r="C246" s="9"/>
    </row>
    <row r="247">
      <c r="C247" s="9"/>
    </row>
    <row r="248">
      <c r="C248" s="9"/>
    </row>
    <row r="249">
      <c r="C249" s="9"/>
    </row>
    <row r="250">
      <c r="C250" s="9"/>
    </row>
    <row r="251">
      <c r="C251" s="9"/>
    </row>
    <row r="252">
      <c r="C252" s="9"/>
    </row>
    <row r="253">
      <c r="C253" s="9"/>
    </row>
    <row r="254">
      <c r="C254" s="9"/>
    </row>
    <row r="255">
      <c r="C255" s="9"/>
    </row>
    <row r="256">
      <c r="C256" s="9"/>
    </row>
    <row r="257">
      <c r="C257" s="9"/>
    </row>
    <row r="258">
      <c r="C258" s="9"/>
    </row>
    <row r="259">
      <c r="C259" s="9"/>
    </row>
    <row r="260">
      <c r="C260" s="9"/>
    </row>
    <row r="261">
      <c r="C261" s="9"/>
    </row>
    <row r="262">
      <c r="C262" s="9"/>
    </row>
    <row r="263">
      <c r="C263" s="9"/>
    </row>
    <row r="264">
      <c r="C264" s="9"/>
    </row>
    <row r="265">
      <c r="C265" s="9"/>
    </row>
    <row r="266">
      <c r="C266" s="9"/>
    </row>
    <row r="267">
      <c r="C267" s="9"/>
    </row>
    <row r="268">
      <c r="C268" s="9"/>
    </row>
    <row r="269">
      <c r="C269" s="9"/>
    </row>
    <row r="270">
      <c r="C270" s="9"/>
    </row>
    <row r="271">
      <c r="C271" s="9"/>
    </row>
    <row r="272">
      <c r="C272" s="9"/>
    </row>
    <row r="273">
      <c r="C273" s="9"/>
    </row>
    <row r="274">
      <c r="C274" s="9"/>
    </row>
    <row r="275">
      <c r="C275" s="9"/>
    </row>
    <row r="276">
      <c r="C276" s="9"/>
    </row>
    <row r="277">
      <c r="C277" s="9"/>
    </row>
    <row r="278">
      <c r="C278" s="9"/>
    </row>
    <row r="279">
      <c r="C279" s="9"/>
    </row>
    <row r="280">
      <c r="C280" s="9"/>
    </row>
    <row r="281">
      <c r="C281" s="9"/>
    </row>
    <row r="282">
      <c r="C282" s="9"/>
    </row>
    <row r="283">
      <c r="C283" s="9"/>
    </row>
    <row r="284">
      <c r="C284" s="9"/>
    </row>
    <row r="285">
      <c r="C285" s="9"/>
    </row>
    <row r="286">
      <c r="C286" s="9"/>
    </row>
    <row r="287">
      <c r="C287" s="9"/>
    </row>
    <row r="288">
      <c r="C288" s="9"/>
    </row>
    <row r="289">
      <c r="C289" s="9"/>
    </row>
    <row r="290">
      <c r="C290" s="9"/>
    </row>
    <row r="291">
      <c r="C291" s="9"/>
    </row>
    <row r="292">
      <c r="C292" s="9"/>
    </row>
    <row r="293">
      <c r="C293" s="9"/>
    </row>
    <row r="294">
      <c r="C294" s="9"/>
    </row>
    <row r="295">
      <c r="C295" s="9"/>
    </row>
    <row r="296">
      <c r="C296" s="9"/>
    </row>
    <row r="297">
      <c r="C297" s="9"/>
    </row>
    <row r="298">
      <c r="C298" s="9"/>
    </row>
    <row r="299">
      <c r="C299" s="9"/>
    </row>
    <row r="300">
      <c r="C300" s="9"/>
    </row>
    <row r="301">
      <c r="C301" s="9"/>
    </row>
    <row r="302">
      <c r="C302" s="9"/>
    </row>
    <row r="303">
      <c r="C303" s="9"/>
    </row>
    <row r="304">
      <c r="C304" s="9"/>
    </row>
    <row r="305">
      <c r="C305" s="9"/>
    </row>
    <row r="306">
      <c r="C306" s="9"/>
    </row>
    <row r="307">
      <c r="C307" s="9"/>
    </row>
    <row r="308">
      <c r="C308" s="9"/>
    </row>
    <row r="309">
      <c r="C309" s="9"/>
    </row>
    <row r="310">
      <c r="C310" s="9"/>
    </row>
    <row r="311">
      <c r="C311" s="9"/>
    </row>
    <row r="312">
      <c r="C312" s="9"/>
    </row>
    <row r="313">
      <c r="C313" s="9"/>
    </row>
    <row r="314">
      <c r="C314" s="9"/>
    </row>
    <row r="315">
      <c r="C315" s="9"/>
    </row>
    <row r="316">
      <c r="C316" s="9"/>
    </row>
    <row r="317">
      <c r="C317" s="9"/>
    </row>
    <row r="318">
      <c r="C318" s="9"/>
    </row>
    <row r="319">
      <c r="C319" s="9"/>
    </row>
    <row r="320">
      <c r="C320" s="9"/>
    </row>
    <row r="321">
      <c r="C321" s="9"/>
    </row>
    <row r="322">
      <c r="C322" s="9"/>
    </row>
    <row r="323">
      <c r="C323" s="9"/>
    </row>
    <row r="324">
      <c r="C324" s="9"/>
    </row>
    <row r="325">
      <c r="C325" s="9"/>
    </row>
    <row r="326">
      <c r="C326" s="9"/>
    </row>
    <row r="327">
      <c r="C327" s="9"/>
    </row>
    <row r="328">
      <c r="C328" s="9"/>
    </row>
    <row r="329">
      <c r="C329" s="9"/>
    </row>
    <row r="330">
      <c r="C330" s="9"/>
    </row>
    <row r="331">
      <c r="C331" s="9"/>
    </row>
    <row r="332">
      <c r="C332" s="9"/>
    </row>
    <row r="333">
      <c r="C333" s="9"/>
    </row>
    <row r="334">
      <c r="C334" s="9"/>
    </row>
    <row r="335">
      <c r="C335" s="9"/>
    </row>
    <row r="336">
      <c r="C336" s="9"/>
    </row>
    <row r="337">
      <c r="C337" s="9"/>
    </row>
    <row r="338">
      <c r="C338" s="9"/>
    </row>
    <row r="339">
      <c r="C339" s="9"/>
    </row>
    <row r="340">
      <c r="C340" s="9"/>
    </row>
    <row r="341">
      <c r="C341" s="9"/>
    </row>
    <row r="342">
      <c r="C342" s="9"/>
    </row>
    <row r="343">
      <c r="C343" s="9"/>
    </row>
    <row r="344">
      <c r="C344" s="9"/>
    </row>
    <row r="345">
      <c r="C345" s="9"/>
    </row>
    <row r="346">
      <c r="C346" s="9"/>
    </row>
    <row r="347">
      <c r="C347" s="9"/>
    </row>
    <row r="348">
      <c r="C348" s="9"/>
    </row>
    <row r="349">
      <c r="C349" s="9"/>
    </row>
    <row r="350">
      <c r="C350" s="9"/>
    </row>
    <row r="351">
      <c r="C351" s="9"/>
    </row>
    <row r="352">
      <c r="C352" s="9"/>
    </row>
    <row r="353">
      <c r="C353" s="9"/>
    </row>
    <row r="354">
      <c r="C354" s="9"/>
    </row>
    <row r="355">
      <c r="C355" s="9"/>
    </row>
    <row r="356">
      <c r="C356" s="9"/>
    </row>
    <row r="357">
      <c r="C357" s="9"/>
    </row>
    <row r="358">
      <c r="C358" s="9"/>
    </row>
    <row r="359">
      <c r="C359" s="9"/>
    </row>
    <row r="360">
      <c r="C360" s="9"/>
    </row>
    <row r="361">
      <c r="C361" s="9"/>
    </row>
    <row r="362">
      <c r="C362" s="9"/>
    </row>
    <row r="363">
      <c r="C363" s="9"/>
    </row>
    <row r="364">
      <c r="C364" s="9"/>
    </row>
    <row r="365">
      <c r="C365" s="9"/>
    </row>
    <row r="366">
      <c r="C366" s="9"/>
    </row>
    <row r="367">
      <c r="C367" s="9"/>
    </row>
    <row r="368">
      <c r="C368" s="9"/>
    </row>
    <row r="369">
      <c r="C369" s="9"/>
    </row>
    <row r="370">
      <c r="C370" s="9"/>
    </row>
    <row r="371">
      <c r="C371" s="9"/>
    </row>
    <row r="372">
      <c r="C372" s="9"/>
    </row>
    <row r="373">
      <c r="C373" s="9"/>
    </row>
    <row r="374">
      <c r="C374" s="9"/>
    </row>
    <row r="375">
      <c r="C375" s="9"/>
    </row>
    <row r="376">
      <c r="C376" s="9"/>
    </row>
    <row r="377">
      <c r="C377" s="9"/>
    </row>
    <row r="378">
      <c r="C378" s="9"/>
    </row>
    <row r="379">
      <c r="C379" s="9"/>
    </row>
    <row r="380">
      <c r="C380" s="9"/>
    </row>
    <row r="381">
      <c r="C381" s="9"/>
    </row>
    <row r="382">
      <c r="C382" s="9"/>
    </row>
    <row r="383">
      <c r="C383" s="9"/>
    </row>
    <row r="384">
      <c r="C384" s="9"/>
    </row>
    <row r="385">
      <c r="C385" s="9"/>
    </row>
    <row r="386">
      <c r="C386" s="9"/>
    </row>
    <row r="387">
      <c r="C387" s="9"/>
    </row>
    <row r="388">
      <c r="C388" s="9"/>
    </row>
    <row r="389">
      <c r="C389" s="9"/>
    </row>
    <row r="390">
      <c r="C390" s="9"/>
    </row>
    <row r="391">
      <c r="C391" s="9"/>
    </row>
    <row r="392">
      <c r="C392" s="9"/>
    </row>
    <row r="393">
      <c r="C393" s="9"/>
    </row>
    <row r="394">
      <c r="C394" s="9"/>
    </row>
    <row r="395">
      <c r="C395" s="9"/>
    </row>
    <row r="396">
      <c r="C396" s="9"/>
    </row>
    <row r="397">
      <c r="C397" s="9"/>
    </row>
    <row r="398">
      <c r="C398" s="9"/>
    </row>
    <row r="399">
      <c r="C399" s="9"/>
    </row>
    <row r="400">
      <c r="C400" s="9"/>
    </row>
    <row r="401">
      <c r="C401" s="9"/>
    </row>
    <row r="402">
      <c r="C402" s="9"/>
    </row>
    <row r="403">
      <c r="C403" s="9"/>
    </row>
    <row r="404">
      <c r="C404" s="9"/>
    </row>
    <row r="405">
      <c r="C405" s="9"/>
    </row>
    <row r="406">
      <c r="C406" s="9"/>
    </row>
    <row r="407">
      <c r="C407" s="9"/>
    </row>
    <row r="408">
      <c r="C408" s="9"/>
    </row>
    <row r="409">
      <c r="C409" s="9"/>
    </row>
    <row r="410">
      <c r="C410" s="9"/>
    </row>
    <row r="411">
      <c r="C411" s="9"/>
    </row>
    <row r="412">
      <c r="C412" s="9"/>
    </row>
    <row r="413">
      <c r="C413" s="9"/>
    </row>
    <row r="414">
      <c r="C414" s="9"/>
    </row>
    <row r="415">
      <c r="C415" s="9"/>
    </row>
    <row r="416">
      <c r="C416" s="9"/>
    </row>
    <row r="417">
      <c r="C417" s="9"/>
    </row>
    <row r="418">
      <c r="C418" s="9"/>
    </row>
    <row r="419">
      <c r="C419" s="9"/>
    </row>
    <row r="420">
      <c r="C420" s="9"/>
    </row>
    <row r="421">
      <c r="C421" s="9"/>
    </row>
    <row r="422">
      <c r="C422" s="9"/>
    </row>
    <row r="423">
      <c r="C423" s="9"/>
    </row>
    <row r="424">
      <c r="C424" s="9"/>
    </row>
    <row r="425">
      <c r="C425" s="9"/>
    </row>
    <row r="426">
      <c r="C426" s="9"/>
    </row>
    <row r="427">
      <c r="C427" s="9"/>
    </row>
    <row r="428">
      <c r="C428" s="9"/>
    </row>
    <row r="429">
      <c r="C429" s="9"/>
    </row>
    <row r="430">
      <c r="C430" s="9"/>
    </row>
    <row r="431">
      <c r="C431" s="9"/>
    </row>
    <row r="432">
      <c r="C432" s="9"/>
    </row>
    <row r="433">
      <c r="C433" s="9"/>
    </row>
    <row r="434">
      <c r="C434" s="9"/>
    </row>
    <row r="435">
      <c r="C435" s="9"/>
    </row>
    <row r="436">
      <c r="C436" s="9"/>
    </row>
    <row r="437">
      <c r="C437" s="9"/>
    </row>
    <row r="438">
      <c r="C438" s="9"/>
    </row>
    <row r="439">
      <c r="C439" s="9"/>
    </row>
    <row r="440">
      <c r="C440" s="9"/>
    </row>
    <row r="441">
      <c r="C441" s="9"/>
    </row>
    <row r="442">
      <c r="C442" s="9"/>
    </row>
    <row r="443">
      <c r="C443" s="9"/>
    </row>
    <row r="444">
      <c r="C444" s="9"/>
    </row>
    <row r="445">
      <c r="C445" s="9"/>
    </row>
    <row r="446">
      <c r="C446" s="9"/>
    </row>
    <row r="447">
      <c r="C447" s="9"/>
    </row>
    <row r="448">
      <c r="C448" s="9"/>
    </row>
    <row r="449">
      <c r="C449" s="9"/>
    </row>
    <row r="450">
      <c r="C450" s="9"/>
    </row>
    <row r="451">
      <c r="C451" s="9"/>
    </row>
    <row r="452">
      <c r="C452" s="9"/>
    </row>
    <row r="453">
      <c r="C453" s="9"/>
    </row>
    <row r="454">
      <c r="C454" s="9"/>
    </row>
    <row r="455">
      <c r="C455" s="9"/>
    </row>
    <row r="456">
      <c r="C456" s="9"/>
    </row>
    <row r="457">
      <c r="C457" s="9"/>
    </row>
    <row r="458">
      <c r="C458" s="9"/>
    </row>
    <row r="459">
      <c r="C459" s="9"/>
    </row>
    <row r="460">
      <c r="C460" s="9"/>
    </row>
    <row r="461">
      <c r="C461" s="9"/>
    </row>
    <row r="462">
      <c r="C462" s="9"/>
    </row>
    <row r="463">
      <c r="C463" s="9"/>
    </row>
    <row r="464">
      <c r="C464" s="9"/>
    </row>
    <row r="465">
      <c r="C465" s="9"/>
    </row>
    <row r="466">
      <c r="C466" s="9"/>
    </row>
    <row r="467">
      <c r="C467" s="9"/>
    </row>
    <row r="468">
      <c r="C468" s="9"/>
    </row>
    <row r="469">
      <c r="C469" s="9"/>
    </row>
    <row r="470">
      <c r="C470" s="9"/>
    </row>
    <row r="471">
      <c r="C471" s="9"/>
    </row>
    <row r="472">
      <c r="C472" s="9"/>
    </row>
    <row r="473">
      <c r="C473" s="9"/>
    </row>
    <row r="474">
      <c r="C474" s="9"/>
    </row>
    <row r="475">
      <c r="C475" s="9"/>
    </row>
    <row r="476">
      <c r="C476" s="9"/>
    </row>
    <row r="477">
      <c r="C477" s="9"/>
    </row>
    <row r="478">
      <c r="C478" s="9"/>
    </row>
    <row r="479">
      <c r="C479" s="9"/>
    </row>
    <row r="480">
      <c r="C480" s="9"/>
    </row>
    <row r="481">
      <c r="C481" s="9"/>
    </row>
    <row r="482">
      <c r="C482" s="9"/>
    </row>
    <row r="483">
      <c r="C483" s="9"/>
    </row>
    <row r="484">
      <c r="C484" s="9"/>
    </row>
    <row r="485">
      <c r="C485" s="9"/>
    </row>
    <row r="486">
      <c r="C486" s="9"/>
    </row>
    <row r="487">
      <c r="C487" s="9"/>
    </row>
    <row r="488">
      <c r="C488" s="9"/>
    </row>
    <row r="489">
      <c r="C489" s="9"/>
    </row>
    <row r="490">
      <c r="C490" s="9"/>
    </row>
    <row r="491">
      <c r="C491" s="9"/>
    </row>
    <row r="492">
      <c r="C492" s="9"/>
    </row>
    <row r="493">
      <c r="C493" s="9"/>
    </row>
    <row r="494">
      <c r="C494" s="9"/>
    </row>
    <row r="495">
      <c r="C495" s="9"/>
    </row>
    <row r="496">
      <c r="C496" s="9"/>
    </row>
    <row r="497">
      <c r="C497" s="9"/>
    </row>
    <row r="498">
      <c r="C498" s="9"/>
    </row>
    <row r="499">
      <c r="C499" s="9"/>
    </row>
    <row r="500">
      <c r="C500" s="9"/>
    </row>
    <row r="501">
      <c r="C501" s="9"/>
    </row>
    <row r="502">
      <c r="C502" s="9"/>
    </row>
    <row r="503">
      <c r="C503" s="9"/>
    </row>
    <row r="504">
      <c r="C504" s="9"/>
    </row>
    <row r="505">
      <c r="C505" s="9"/>
    </row>
    <row r="506">
      <c r="C506" s="9"/>
    </row>
    <row r="507">
      <c r="C507" s="9"/>
    </row>
    <row r="508">
      <c r="C508" s="9"/>
    </row>
    <row r="509">
      <c r="C509" s="9"/>
    </row>
    <row r="510">
      <c r="C510" s="9"/>
    </row>
    <row r="511">
      <c r="C511" s="9"/>
    </row>
    <row r="512">
      <c r="C512" s="9"/>
    </row>
    <row r="513">
      <c r="C513" s="9"/>
    </row>
    <row r="514">
      <c r="C514" s="9"/>
    </row>
    <row r="515">
      <c r="C515" s="9"/>
    </row>
    <row r="516">
      <c r="C516" s="9"/>
    </row>
    <row r="517">
      <c r="C517" s="9"/>
    </row>
    <row r="518">
      <c r="C518" s="9"/>
    </row>
    <row r="519">
      <c r="C519" s="9"/>
    </row>
    <row r="520">
      <c r="C520" s="9"/>
    </row>
    <row r="521">
      <c r="C521" s="9"/>
    </row>
    <row r="522">
      <c r="C522" s="9"/>
    </row>
    <row r="523">
      <c r="C523" s="9"/>
    </row>
    <row r="524">
      <c r="C524" s="9"/>
    </row>
    <row r="525">
      <c r="C525" s="9"/>
    </row>
    <row r="526">
      <c r="C526" s="9"/>
    </row>
    <row r="527">
      <c r="C527" s="9"/>
    </row>
    <row r="528">
      <c r="C528" s="9"/>
    </row>
    <row r="529">
      <c r="C529" s="9"/>
    </row>
    <row r="530">
      <c r="C530" s="9"/>
    </row>
    <row r="531">
      <c r="C531" s="9"/>
    </row>
    <row r="532">
      <c r="C532" s="9"/>
    </row>
    <row r="533">
      <c r="C533" s="9"/>
    </row>
    <row r="534">
      <c r="C534" s="9"/>
    </row>
    <row r="535">
      <c r="C535" s="9"/>
    </row>
    <row r="536">
      <c r="C536" s="9"/>
    </row>
    <row r="537">
      <c r="C537" s="9"/>
    </row>
    <row r="538">
      <c r="C538" s="9"/>
    </row>
    <row r="539">
      <c r="C539" s="9"/>
    </row>
    <row r="540">
      <c r="C540" s="9"/>
    </row>
    <row r="541">
      <c r="C541" s="9"/>
    </row>
    <row r="542">
      <c r="C542" s="9"/>
    </row>
    <row r="543">
      <c r="C543" s="9"/>
    </row>
    <row r="544">
      <c r="C544" s="9"/>
    </row>
    <row r="545">
      <c r="C545" s="9"/>
    </row>
    <row r="546">
      <c r="C546" s="9"/>
    </row>
    <row r="547">
      <c r="C547" s="9"/>
    </row>
    <row r="548">
      <c r="C548" s="9"/>
    </row>
    <row r="549">
      <c r="C549" s="9"/>
    </row>
    <row r="550">
      <c r="C550" s="9"/>
    </row>
    <row r="551">
      <c r="C551" s="9"/>
    </row>
    <row r="552">
      <c r="C552" s="9"/>
    </row>
    <row r="553">
      <c r="C553" s="9"/>
    </row>
    <row r="554">
      <c r="C554" s="9"/>
    </row>
    <row r="555">
      <c r="C555" s="9"/>
    </row>
    <row r="556">
      <c r="C556" s="9"/>
    </row>
    <row r="557">
      <c r="C557" s="9"/>
    </row>
    <row r="558">
      <c r="C558" s="9"/>
    </row>
    <row r="559">
      <c r="C559" s="9"/>
    </row>
    <row r="560">
      <c r="C560" s="9"/>
    </row>
    <row r="561">
      <c r="C561" s="9"/>
    </row>
    <row r="562">
      <c r="C562" s="9"/>
    </row>
    <row r="563">
      <c r="C563" s="9"/>
    </row>
    <row r="564">
      <c r="C564" s="9"/>
    </row>
    <row r="565">
      <c r="C565" s="9"/>
    </row>
    <row r="566">
      <c r="C566" s="9"/>
    </row>
    <row r="567">
      <c r="C567" s="9"/>
    </row>
    <row r="568">
      <c r="C568" s="9"/>
    </row>
    <row r="569">
      <c r="C569" s="9"/>
    </row>
    <row r="570">
      <c r="C570" s="9"/>
    </row>
    <row r="571">
      <c r="C571" s="9"/>
    </row>
    <row r="572">
      <c r="C572" s="9"/>
    </row>
    <row r="573">
      <c r="C573" s="9"/>
    </row>
    <row r="574">
      <c r="C574" s="9"/>
    </row>
    <row r="575">
      <c r="C575" s="9"/>
    </row>
    <row r="576">
      <c r="C576" s="9"/>
    </row>
    <row r="577">
      <c r="C577" s="9"/>
    </row>
    <row r="578">
      <c r="C578" s="9"/>
    </row>
    <row r="579">
      <c r="C579" s="9"/>
    </row>
    <row r="580">
      <c r="C580" s="9"/>
    </row>
    <row r="581">
      <c r="C581" s="9"/>
    </row>
    <row r="582">
      <c r="C582" s="9"/>
    </row>
    <row r="583">
      <c r="C583" s="9"/>
    </row>
    <row r="584">
      <c r="C584" s="9"/>
    </row>
    <row r="585">
      <c r="C585" s="9"/>
    </row>
    <row r="586">
      <c r="C586" s="9"/>
    </row>
    <row r="587">
      <c r="C587" s="9"/>
    </row>
    <row r="588">
      <c r="C588" s="9"/>
    </row>
    <row r="589">
      <c r="C589" s="9"/>
    </row>
    <row r="590">
      <c r="C590" s="9"/>
    </row>
    <row r="591">
      <c r="C591" s="9"/>
    </row>
    <row r="592">
      <c r="C592" s="9"/>
    </row>
    <row r="593">
      <c r="C593" s="9"/>
    </row>
    <row r="594">
      <c r="C594" s="9"/>
    </row>
    <row r="595">
      <c r="C595" s="9"/>
    </row>
    <row r="596">
      <c r="C596" s="9"/>
    </row>
    <row r="597">
      <c r="C597" s="9"/>
    </row>
    <row r="598">
      <c r="C598" s="9"/>
    </row>
    <row r="599">
      <c r="C599" s="9"/>
    </row>
    <row r="600">
      <c r="C600" s="9"/>
    </row>
    <row r="601">
      <c r="C601" s="9"/>
    </row>
    <row r="602">
      <c r="C602" s="9"/>
    </row>
    <row r="603">
      <c r="C603" s="9"/>
    </row>
    <row r="604">
      <c r="C604" s="9"/>
    </row>
    <row r="605">
      <c r="C605" s="9"/>
    </row>
    <row r="606">
      <c r="C606" s="9"/>
    </row>
    <row r="607">
      <c r="C607" s="9"/>
    </row>
    <row r="608">
      <c r="C608" s="9"/>
    </row>
    <row r="609">
      <c r="C609" s="9"/>
    </row>
    <row r="610">
      <c r="C610" s="9"/>
    </row>
    <row r="611">
      <c r="C611" s="9"/>
    </row>
    <row r="612">
      <c r="C612" s="9"/>
    </row>
    <row r="613">
      <c r="C613" s="9"/>
    </row>
    <row r="614">
      <c r="C614" s="9"/>
    </row>
    <row r="615">
      <c r="C615" s="9"/>
    </row>
    <row r="616">
      <c r="C616" s="9"/>
    </row>
    <row r="617">
      <c r="C617" s="9"/>
    </row>
    <row r="618">
      <c r="C618" s="9"/>
    </row>
    <row r="619">
      <c r="C619" s="9"/>
    </row>
    <row r="620">
      <c r="C620" s="9"/>
    </row>
    <row r="621">
      <c r="C621" s="9"/>
    </row>
    <row r="622">
      <c r="C622" s="9"/>
    </row>
    <row r="623">
      <c r="C623" s="9"/>
    </row>
    <row r="624">
      <c r="C624" s="9"/>
    </row>
    <row r="625">
      <c r="C625" s="9"/>
    </row>
    <row r="626">
      <c r="C626" s="9"/>
    </row>
    <row r="627">
      <c r="C627" s="9"/>
    </row>
    <row r="628">
      <c r="C628" s="9"/>
    </row>
    <row r="629">
      <c r="C629" s="9"/>
    </row>
    <row r="630">
      <c r="C630" s="9"/>
    </row>
    <row r="631">
      <c r="C631" s="9"/>
    </row>
    <row r="632">
      <c r="C632" s="9"/>
    </row>
    <row r="633">
      <c r="C633" s="9"/>
    </row>
    <row r="634">
      <c r="C634" s="9"/>
    </row>
    <row r="635">
      <c r="C635" s="9"/>
    </row>
    <row r="636">
      <c r="C636" s="9"/>
    </row>
    <row r="637">
      <c r="C637" s="9"/>
    </row>
    <row r="638">
      <c r="C638" s="9"/>
    </row>
    <row r="639">
      <c r="C639" s="9"/>
    </row>
    <row r="640">
      <c r="C640" s="9"/>
    </row>
    <row r="641">
      <c r="C641" s="9"/>
    </row>
    <row r="642">
      <c r="C642" s="9"/>
    </row>
    <row r="643">
      <c r="C643" s="9"/>
    </row>
    <row r="644">
      <c r="C644" s="9"/>
    </row>
    <row r="645">
      <c r="C645" s="9"/>
    </row>
    <row r="646">
      <c r="C646" s="9"/>
    </row>
    <row r="647">
      <c r="C647" s="9"/>
    </row>
    <row r="648">
      <c r="C648" s="9"/>
    </row>
    <row r="649">
      <c r="C649" s="9"/>
    </row>
    <row r="650">
      <c r="C650" s="9"/>
    </row>
    <row r="651">
      <c r="C651" s="9"/>
    </row>
    <row r="652">
      <c r="C652" s="9"/>
    </row>
    <row r="653">
      <c r="C653" s="9"/>
    </row>
    <row r="654">
      <c r="C654" s="9"/>
    </row>
    <row r="655">
      <c r="C655" s="9"/>
    </row>
    <row r="656">
      <c r="C656" s="9"/>
    </row>
    <row r="657">
      <c r="C657" s="9"/>
    </row>
    <row r="658">
      <c r="C658" s="9"/>
    </row>
    <row r="659">
      <c r="C659" s="9"/>
    </row>
    <row r="660">
      <c r="C660" s="9"/>
    </row>
    <row r="661">
      <c r="C661" s="9"/>
    </row>
    <row r="662">
      <c r="C662" s="9"/>
    </row>
    <row r="663">
      <c r="C663" s="9"/>
    </row>
    <row r="664">
      <c r="C664" s="9"/>
    </row>
    <row r="665">
      <c r="C665" s="9"/>
    </row>
    <row r="666">
      <c r="C666" s="9"/>
    </row>
    <row r="667">
      <c r="C667" s="9"/>
    </row>
    <row r="668">
      <c r="C668" s="9"/>
    </row>
    <row r="669">
      <c r="C669" s="9"/>
    </row>
    <row r="670">
      <c r="C670" s="9"/>
    </row>
    <row r="671">
      <c r="C671" s="9"/>
    </row>
    <row r="672">
      <c r="C672" s="9"/>
    </row>
    <row r="673">
      <c r="C673" s="9"/>
    </row>
    <row r="674">
      <c r="C674" s="9"/>
    </row>
    <row r="675">
      <c r="C675" s="9"/>
    </row>
    <row r="676">
      <c r="C676" s="9"/>
    </row>
    <row r="677">
      <c r="C677" s="9"/>
    </row>
    <row r="678">
      <c r="C678" s="9"/>
    </row>
    <row r="679">
      <c r="C679" s="9"/>
    </row>
    <row r="680">
      <c r="C680" s="9"/>
    </row>
    <row r="681">
      <c r="C681" s="9"/>
    </row>
    <row r="682">
      <c r="C682" s="9"/>
    </row>
    <row r="683">
      <c r="C683" s="9"/>
    </row>
    <row r="684">
      <c r="C684" s="9"/>
    </row>
    <row r="685">
      <c r="C685" s="9"/>
    </row>
    <row r="686">
      <c r="C686" s="9"/>
    </row>
    <row r="687">
      <c r="C687" s="9"/>
    </row>
    <row r="688">
      <c r="C688" s="9"/>
    </row>
    <row r="689">
      <c r="C689" s="9"/>
    </row>
    <row r="690">
      <c r="C690" s="9"/>
    </row>
    <row r="691">
      <c r="C691" s="9"/>
    </row>
    <row r="692">
      <c r="C692" s="9"/>
    </row>
    <row r="693">
      <c r="C693" s="9"/>
    </row>
    <row r="694">
      <c r="C694" s="9"/>
    </row>
    <row r="695">
      <c r="C695" s="9"/>
    </row>
    <row r="696">
      <c r="C696" s="9"/>
    </row>
    <row r="697">
      <c r="C697" s="9"/>
    </row>
    <row r="698">
      <c r="C698" s="9"/>
    </row>
    <row r="699">
      <c r="C699" s="9"/>
    </row>
    <row r="700">
      <c r="C700" s="9"/>
    </row>
    <row r="701">
      <c r="C701" s="9"/>
    </row>
    <row r="702">
      <c r="C702" s="9"/>
    </row>
    <row r="703">
      <c r="C703" s="9"/>
    </row>
    <row r="704">
      <c r="C704" s="9"/>
    </row>
    <row r="705">
      <c r="C705" s="9"/>
    </row>
    <row r="706">
      <c r="C706" s="9"/>
    </row>
    <row r="707">
      <c r="C707" s="9"/>
    </row>
    <row r="708">
      <c r="C708" s="9"/>
    </row>
    <row r="709">
      <c r="C709" s="9"/>
    </row>
    <row r="710">
      <c r="C710" s="9"/>
    </row>
    <row r="711">
      <c r="C711" s="9"/>
    </row>
    <row r="712">
      <c r="C712" s="9"/>
    </row>
    <row r="713">
      <c r="C713" s="9"/>
    </row>
    <row r="714">
      <c r="C714" s="9"/>
    </row>
    <row r="715">
      <c r="C715" s="9"/>
    </row>
    <row r="716">
      <c r="C716" s="9"/>
    </row>
    <row r="717">
      <c r="C717" s="9"/>
    </row>
    <row r="718">
      <c r="C718" s="9"/>
    </row>
    <row r="719">
      <c r="C719" s="9"/>
    </row>
    <row r="720">
      <c r="C720" s="9"/>
    </row>
    <row r="721">
      <c r="C721" s="9"/>
    </row>
    <row r="722">
      <c r="C722" s="9"/>
    </row>
    <row r="723">
      <c r="C723" s="9"/>
    </row>
    <row r="724">
      <c r="C724" s="9"/>
    </row>
    <row r="725">
      <c r="C725" s="9"/>
    </row>
    <row r="726">
      <c r="C726" s="9"/>
    </row>
    <row r="727">
      <c r="C727" s="9"/>
    </row>
    <row r="728">
      <c r="C728" s="9"/>
    </row>
    <row r="729">
      <c r="C729" s="9"/>
    </row>
    <row r="730">
      <c r="C730" s="9"/>
    </row>
    <row r="731">
      <c r="C731" s="9"/>
    </row>
    <row r="732">
      <c r="C732" s="9"/>
    </row>
    <row r="733">
      <c r="C733" s="9"/>
    </row>
    <row r="734">
      <c r="C734" s="9"/>
    </row>
    <row r="735">
      <c r="C735" s="9"/>
    </row>
    <row r="736">
      <c r="C736" s="9"/>
    </row>
    <row r="737">
      <c r="C737" s="9"/>
    </row>
    <row r="738">
      <c r="C738" s="9"/>
    </row>
    <row r="739">
      <c r="C739" s="9"/>
    </row>
    <row r="740">
      <c r="C740" s="9"/>
    </row>
    <row r="741">
      <c r="C741" s="9"/>
    </row>
    <row r="742">
      <c r="C742" s="9"/>
    </row>
    <row r="743">
      <c r="C743" s="9"/>
    </row>
    <row r="744">
      <c r="C744" s="9"/>
    </row>
    <row r="745">
      <c r="C745" s="9"/>
    </row>
    <row r="746">
      <c r="C746" s="9"/>
    </row>
    <row r="747">
      <c r="C747" s="9"/>
    </row>
    <row r="748">
      <c r="C748" s="9"/>
    </row>
    <row r="749">
      <c r="C749" s="9"/>
    </row>
    <row r="750">
      <c r="C750" s="9"/>
    </row>
    <row r="751">
      <c r="C751" s="9"/>
    </row>
    <row r="752">
      <c r="C752" s="9"/>
    </row>
    <row r="753">
      <c r="C753" s="9"/>
    </row>
    <row r="754">
      <c r="C754" s="9"/>
    </row>
    <row r="755">
      <c r="C755" s="9"/>
    </row>
    <row r="756">
      <c r="C756" s="9"/>
    </row>
    <row r="757">
      <c r="C757" s="9"/>
    </row>
    <row r="758">
      <c r="C758" s="9"/>
    </row>
    <row r="759">
      <c r="C759" s="9"/>
    </row>
    <row r="760">
      <c r="C760" s="9"/>
    </row>
    <row r="761">
      <c r="C761" s="9"/>
    </row>
    <row r="762">
      <c r="C762" s="9"/>
    </row>
    <row r="763">
      <c r="C763" s="9"/>
    </row>
    <row r="764">
      <c r="C764" s="9"/>
    </row>
    <row r="765">
      <c r="C765" s="9"/>
    </row>
    <row r="766">
      <c r="C766" s="9"/>
    </row>
    <row r="767">
      <c r="C767" s="9"/>
    </row>
    <row r="768">
      <c r="C768" s="9"/>
    </row>
    <row r="769">
      <c r="C769" s="9"/>
    </row>
    <row r="770">
      <c r="C770" s="9"/>
    </row>
    <row r="771">
      <c r="C771" s="9"/>
    </row>
    <row r="772">
      <c r="C772" s="9"/>
    </row>
    <row r="773">
      <c r="C773" s="9"/>
    </row>
    <row r="774">
      <c r="C774" s="9"/>
    </row>
    <row r="775">
      <c r="C775" s="9"/>
    </row>
    <row r="776">
      <c r="C776" s="9"/>
    </row>
    <row r="777">
      <c r="C777" s="9"/>
    </row>
    <row r="778">
      <c r="C778" s="9"/>
    </row>
    <row r="779">
      <c r="C779" s="9"/>
    </row>
    <row r="780">
      <c r="C780" s="9"/>
    </row>
    <row r="781">
      <c r="C781" s="9"/>
    </row>
    <row r="782">
      <c r="C782" s="9"/>
    </row>
    <row r="783">
      <c r="C783" s="9"/>
    </row>
    <row r="784">
      <c r="C784" s="9"/>
    </row>
    <row r="785">
      <c r="C785" s="9"/>
    </row>
    <row r="786">
      <c r="C786" s="9"/>
    </row>
    <row r="787">
      <c r="C787" s="9"/>
    </row>
    <row r="788">
      <c r="C788" s="9"/>
    </row>
    <row r="789">
      <c r="C789" s="9"/>
    </row>
    <row r="790">
      <c r="C790" s="9"/>
    </row>
    <row r="791">
      <c r="C791" s="9"/>
    </row>
    <row r="792">
      <c r="C792" s="9"/>
    </row>
    <row r="793">
      <c r="C793" s="9"/>
    </row>
    <row r="794">
      <c r="C794" s="9"/>
    </row>
    <row r="795">
      <c r="C795" s="9"/>
    </row>
    <row r="796">
      <c r="C796" s="9"/>
    </row>
    <row r="797">
      <c r="C797" s="9"/>
    </row>
    <row r="798">
      <c r="C798" s="9"/>
    </row>
    <row r="799">
      <c r="C799" s="9"/>
    </row>
    <row r="800">
      <c r="C800" s="9"/>
    </row>
    <row r="801">
      <c r="C801" s="9"/>
    </row>
    <row r="802">
      <c r="C802" s="9"/>
    </row>
    <row r="803">
      <c r="C803" s="9"/>
    </row>
    <row r="804">
      <c r="C804" s="9"/>
    </row>
    <row r="805">
      <c r="C805" s="9"/>
    </row>
    <row r="806">
      <c r="C806" s="9"/>
    </row>
    <row r="807">
      <c r="C807" s="9"/>
    </row>
    <row r="808">
      <c r="C808" s="9"/>
    </row>
    <row r="809">
      <c r="C809" s="9"/>
    </row>
    <row r="810">
      <c r="C810" s="9"/>
    </row>
    <row r="811">
      <c r="C811" s="9"/>
    </row>
    <row r="812">
      <c r="C812" s="9"/>
    </row>
    <row r="813">
      <c r="C813" s="9"/>
    </row>
    <row r="814">
      <c r="C814" s="9"/>
    </row>
    <row r="815">
      <c r="C815" s="9"/>
    </row>
    <row r="816">
      <c r="C816" s="9"/>
    </row>
    <row r="817">
      <c r="C817" s="9"/>
    </row>
    <row r="818">
      <c r="C818" s="9"/>
    </row>
    <row r="819">
      <c r="C819" s="9"/>
    </row>
    <row r="820">
      <c r="C820" s="9"/>
    </row>
    <row r="821">
      <c r="C821" s="9"/>
    </row>
    <row r="822">
      <c r="C822" s="9"/>
    </row>
    <row r="823">
      <c r="C823" s="9"/>
    </row>
    <row r="824">
      <c r="C824" s="9"/>
    </row>
    <row r="825">
      <c r="C825" s="9"/>
    </row>
    <row r="826">
      <c r="C826" s="9"/>
    </row>
    <row r="827">
      <c r="C827" s="9"/>
    </row>
    <row r="828">
      <c r="C828" s="9"/>
    </row>
    <row r="829">
      <c r="C829" s="9"/>
    </row>
    <row r="830">
      <c r="C830" s="9"/>
    </row>
    <row r="831">
      <c r="C831" s="9"/>
    </row>
    <row r="832">
      <c r="C832" s="9"/>
    </row>
    <row r="833">
      <c r="C833" s="9"/>
    </row>
    <row r="834">
      <c r="C834" s="9"/>
    </row>
    <row r="835">
      <c r="C835" s="9"/>
    </row>
    <row r="836">
      <c r="C836" s="9"/>
    </row>
    <row r="837">
      <c r="C837" s="9"/>
    </row>
    <row r="838">
      <c r="C838" s="9"/>
    </row>
    <row r="839">
      <c r="C839" s="9"/>
    </row>
    <row r="840">
      <c r="C840" s="9"/>
    </row>
    <row r="841">
      <c r="C841" s="9"/>
    </row>
    <row r="842">
      <c r="C842" s="9"/>
    </row>
    <row r="843">
      <c r="C843" s="9"/>
    </row>
    <row r="844">
      <c r="C844" s="9"/>
    </row>
    <row r="845">
      <c r="C845" s="9"/>
    </row>
    <row r="846">
      <c r="C846" s="9"/>
    </row>
    <row r="847">
      <c r="C847" s="9"/>
    </row>
    <row r="848">
      <c r="C848" s="9"/>
    </row>
    <row r="849">
      <c r="C849" s="9"/>
    </row>
    <row r="850">
      <c r="C850" s="9"/>
    </row>
    <row r="851">
      <c r="C851" s="9"/>
    </row>
    <row r="852">
      <c r="C852" s="9"/>
    </row>
    <row r="853">
      <c r="C853" s="9"/>
    </row>
    <row r="854">
      <c r="C854" s="9"/>
    </row>
    <row r="855">
      <c r="C855" s="9"/>
    </row>
    <row r="856">
      <c r="C856" s="9"/>
    </row>
    <row r="857">
      <c r="C857" s="9"/>
    </row>
    <row r="858">
      <c r="C858" s="9"/>
    </row>
    <row r="859">
      <c r="C859" s="9"/>
    </row>
    <row r="860">
      <c r="C860" s="9"/>
    </row>
    <row r="861">
      <c r="C861" s="9"/>
    </row>
    <row r="862">
      <c r="C862" s="9"/>
    </row>
    <row r="863">
      <c r="C863" s="9"/>
    </row>
    <row r="864">
      <c r="C864" s="9"/>
    </row>
    <row r="865">
      <c r="C865" s="9"/>
    </row>
    <row r="866">
      <c r="C866" s="9"/>
    </row>
    <row r="867">
      <c r="C867" s="9"/>
    </row>
    <row r="868">
      <c r="C868" s="9"/>
    </row>
    <row r="869">
      <c r="C869" s="9"/>
    </row>
    <row r="870">
      <c r="C870" s="9"/>
    </row>
    <row r="871">
      <c r="C871" s="9"/>
    </row>
    <row r="872">
      <c r="C872" s="9"/>
    </row>
    <row r="873">
      <c r="C873" s="9"/>
    </row>
    <row r="874">
      <c r="C874" s="9"/>
    </row>
    <row r="875">
      <c r="C875" s="9"/>
    </row>
    <row r="876">
      <c r="C876" s="9"/>
    </row>
    <row r="877">
      <c r="C877" s="9"/>
    </row>
    <row r="878">
      <c r="C878" s="9"/>
    </row>
    <row r="879">
      <c r="C879" s="9"/>
    </row>
    <row r="880">
      <c r="C880" s="9"/>
    </row>
    <row r="881">
      <c r="C881" s="9"/>
    </row>
    <row r="882">
      <c r="C882" s="9"/>
    </row>
    <row r="883">
      <c r="C883" s="9"/>
    </row>
    <row r="884">
      <c r="C884" s="9"/>
    </row>
    <row r="885">
      <c r="C885" s="9"/>
    </row>
    <row r="886">
      <c r="C886" s="9"/>
    </row>
    <row r="887">
      <c r="C887" s="9"/>
    </row>
    <row r="888">
      <c r="C888" s="9"/>
    </row>
    <row r="889">
      <c r="C889" s="9"/>
    </row>
    <row r="890">
      <c r="C890" s="9"/>
    </row>
    <row r="891">
      <c r="C891" s="9"/>
    </row>
    <row r="892">
      <c r="C892" s="9"/>
    </row>
    <row r="893">
      <c r="C893" s="9"/>
    </row>
    <row r="894">
      <c r="C894" s="9"/>
    </row>
    <row r="895">
      <c r="C895" s="9"/>
    </row>
    <row r="896">
      <c r="C896" s="9"/>
    </row>
    <row r="897">
      <c r="C897" s="9"/>
    </row>
    <row r="898">
      <c r="C898" s="9"/>
    </row>
    <row r="899">
      <c r="C899" s="9"/>
    </row>
    <row r="900">
      <c r="C900" s="9"/>
    </row>
    <row r="901">
      <c r="C901" s="9"/>
    </row>
    <row r="902">
      <c r="C902" s="9"/>
    </row>
    <row r="903">
      <c r="C903" s="9"/>
    </row>
    <row r="904">
      <c r="C904" s="9"/>
    </row>
    <row r="905">
      <c r="C905" s="9"/>
    </row>
    <row r="906">
      <c r="C906" s="9"/>
    </row>
    <row r="907">
      <c r="C907" s="9"/>
    </row>
    <row r="908">
      <c r="C908" s="9"/>
    </row>
    <row r="909">
      <c r="C909" s="9"/>
    </row>
    <row r="910">
      <c r="C910" s="9"/>
    </row>
    <row r="911">
      <c r="C911" s="9"/>
    </row>
    <row r="912">
      <c r="C912" s="9"/>
    </row>
    <row r="913">
      <c r="C913" s="9"/>
    </row>
    <row r="914">
      <c r="C914" s="9"/>
    </row>
    <row r="915">
      <c r="C915" s="9"/>
    </row>
    <row r="916">
      <c r="C916" s="9"/>
    </row>
    <row r="917">
      <c r="C917" s="9"/>
    </row>
    <row r="918">
      <c r="C918" s="9"/>
    </row>
    <row r="919">
      <c r="C919" s="9"/>
    </row>
    <row r="920">
      <c r="C920" s="9"/>
    </row>
    <row r="921">
      <c r="C921" s="9"/>
    </row>
    <row r="922">
      <c r="C922" s="9"/>
    </row>
    <row r="923">
      <c r="C923" s="9"/>
    </row>
    <row r="924">
      <c r="C924" s="9"/>
    </row>
    <row r="925">
      <c r="C925" s="9"/>
    </row>
    <row r="926">
      <c r="C926" s="9"/>
    </row>
    <row r="927">
      <c r="C927" s="9"/>
    </row>
    <row r="928">
      <c r="C928" s="9"/>
    </row>
    <row r="929">
      <c r="C929" s="9"/>
    </row>
    <row r="930">
      <c r="C930" s="9"/>
    </row>
    <row r="931">
      <c r="C931" s="9"/>
    </row>
    <row r="932">
      <c r="C932" s="9"/>
    </row>
    <row r="933">
      <c r="C933" s="9"/>
    </row>
    <row r="934">
      <c r="C934" s="9"/>
    </row>
    <row r="935">
      <c r="C935" s="9"/>
    </row>
    <row r="936">
      <c r="C936" s="9"/>
    </row>
    <row r="937">
      <c r="C937" s="9"/>
    </row>
    <row r="938">
      <c r="C938" s="9"/>
    </row>
    <row r="939">
      <c r="C939" s="9"/>
    </row>
    <row r="940">
      <c r="C940" s="9"/>
    </row>
    <row r="941">
      <c r="C941" s="9"/>
    </row>
    <row r="942">
      <c r="C942" s="9"/>
    </row>
    <row r="943">
      <c r="C943" s="9"/>
    </row>
    <row r="944">
      <c r="C944" s="9"/>
    </row>
    <row r="945">
      <c r="C945" s="9"/>
    </row>
    <row r="946">
      <c r="C946" s="9"/>
    </row>
    <row r="947">
      <c r="C947" s="9"/>
    </row>
    <row r="948">
      <c r="C948" s="9"/>
    </row>
    <row r="949">
      <c r="C949" s="9"/>
    </row>
    <row r="950">
      <c r="C950" s="9"/>
    </row>
    <row r="951">
      <c r="C951" s="9"/>
    </row>
    <row r="952">
      <c r="C952" s="9"/>
    </row>
    <row r="953">
      <c r="C953" s="9"/>
    </row>
    <row r="954">
      <c r="C954" s="9"/>
    </row>
    <row r="955">
      <c r="C955" s="9"/>
    </row>
    <row r="956">
      <c r="C956" s="9"/>
    </row>
    <row r="957">
      <c r="C957" s="9"/>
    </row>
    <row r="958">
      <c r="C958" s="9"/>
    </row>
    <row r="959">
      <c r="C959" s="9"/>
    </row>
    <row r="960">
      <c r="C960" s="9"/>
    </row>
    <row r="961">
      <c r="C961" s="9"/>
    </row>
    <row r="962">
      <c r="C962" s="9"/>
    </row>
    <row r="963">
      <c r="C963" s="9"/>
    </row>
    <row r="964">
      <c r="C964" s="9"/>
    </row>
    <row r="965">
      <c r="C965" s="9"/>
    </row>
    <row r="966">
      <c r="C966" s="9"/>
    </row>
    <row r="967">
      <c r="C967" s="9"/>
    </row>
    <row r="968">
      <c r="C968" s="9"/>
    </row>
    <row r="969">
      <c r="C969" s="9"/>
    </row>
    <row r="970">
      <c r="C970" s="9"/>
    </row>
    <row r="971">
      <c r="C971" s="9"/>
    </row>
    <row r="972">
      <c r="C972" s="9"/>
    </row>
    <row r="973">
      <c r="C973" s="9"/>
    </row>
    <row r="974">
      <c r="C974" s="9"/>
    </row>
    <row r="975">
      <c r="C975" s="9"/>
    </row>
    <row r="976">
      <c r="C976" s="9"/>
    </row>
    <row r="977">
      <c r="C977" s="9"/>
    </row>
    <row r="978">
      <c r="C978" s="9"/>
    </row>
    <row r="979">
      <c r="C979" s="9"/>
    </row>
    <row r="980">
      <c r="C980" s="9"/>
    </row>
    <row r="981">
      <c r="C981" s="9"/>
    </row>
    <row r="982">
      <c r="C982" s="9"/>
    </row>
    <row r="983">
      <c r="C983" s="9"/>
    </row>
    <row r="984">
      <c r="C984" s="9"/>
    </row>
    <row r="985">
      <c r="C985" s="9"/>
    </row>
    <row r="986">
      <c r="C986" s="9"/>
    </row>
    <row r="987">
      <c r="C987" s="9"/>
    </row>
    <row r="988">
      <c r="C988" s="9"/>
    </row>
    <row r="989">
      <c r="C989" s="9"/>
    </row>
    <row r="990">
      <c r="C990" s="9"/>
    </row>
    <row r="991">
      <c r="C991" s="9"/>
    </row>
    <row r="992">
      <c r="C992" s="9"/>
    </row>
    <row r="993">
      <c r="C993" s="9"/>
    </row>
    <row r="994">
      <c r="C994" s="9"/>
    </row>
    <row r="995">
      <c r="C995" s="9"/>
    </row>
    <row r="996">
      <c r="C996" s="9"/>
    </row>
    <row r="997">
      <c r="C997" s="9"/>
    </row>
    <row r="998">
      <c r="C998" s="9"/>
    </row>
    <row r="999">
      <c r="C999" s="9"/>
    </row>
    <row r="1000">
      <c r="C1000"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8</v>
      </c>
      <c r="B1" s="7" t="s">
        <v>9</v>
      </c>
      <c r="C1" s="7" t="s">
        <v>10</v>
      </c>
      <c r="D1" s="7" t="s">
        <v>11</v>
      </c>
      <c r="E1" s="16" t="s">
        <v>12</v>
      </c>
      <c r="F1" s="9"/>
      <c r="G1" s="9"/>
      <c r="H1" s="9"/>
      <c r="I1" s="9"/>
      <c r="J1" s="9"/>
      <c r="K1" s="9"/>
      <c r="L1" s="9"/>
      <c r="M1" s="9"/>
      <c r="N1" s="9"/>
      <c r="O1" s="9"/>
      <c r="P1" s="9"/>
      <c r="Q1" s="9"/>
      <c r="R1" s="9"/>
      <c r="S1" s="9"/>
      <c r="T1" s="9"/>
      <c r="U1" s="9"/>
      <c r="V1" s="9"/>
      <c r="W1" s="9"/>
      <c r="X1" s="9"/>
      <c r="Y1" s="9"/>
      <c r="Z1" s="9"/>
    </row>
    <row r="2">
      <c r="A2" s="17">
        <v>45986.0</v>
      </c>
      <c r="B2" s="7">
        <v>87342.0</v>
      </c>
      <c r="C2" s="7">
        <v>88271.0</v>
      </c>
      <c r="D2" s="9">
        <f>B2-C2</f>
        <v>-929</v>
      </c>
      <c r="E2" s="18">
        <f>(B2-C2)/C2*100</f>
        <v>-1.052440779</v>
      </c>
      <c r="F2" s="9"/>
      <c r="G2" s="9"/>
      <c r="H2" s="9"/>
      <c r="I2" s="9"/>
      <c r="J2" s="9"/>
      <c r="K2" s="9"/>
      <c r="L2" s="9"/>
      <c r="M2" s="9"/>
      <c r="N2" s="9"/>
      <c r="O2" s="9"/>
      <c r="P2" s="9"/>
      <c r="Q2" s="9"/>
      <c r="R2" s="9"/>
      <c r="S2" s="9"/>
      <c r="T2" s="9"/>
      <c r="U2" s="9"/>
      <c r="V2" s="9"/>
      <c r="W2" s="9"/>
      <c r="X2" s="9"/>
      <c r="Y2" s="9"/>
      <c r="Z2" s="9"/>
    </row>
    <row r="3">
      <c r="A3" s="9"/>
      <c r="B3" s="9"/>
      <c r="C3" s="9"/>
      <c r="D3" s="7" t="s">
        <v>13</v>
      </c>
      <c r="E3" s="18"/>
      <c r="F3" s="9"/>
      <c r="G3" s="9"/>
      <c r="H3" s="9"/>
      <c r="I3" s="9"/>
      <c r="J3" s="9"/>
      <c r="K3" s="9"/>
      <c r="L3" s="9"/>
      <c r="M3" s="9"/>
      <c r="N3" s="9"/>
      <c r="O3" s="9"/>
      <c r="P3" s="9"/>
      <c r="Q3" s="9"/>
      <c r="R3" s="9"/>
      <c r="S3" s="9"/>
      <c r="T3" s="9"/>
      <c r="U3" s="9"/>
      <c r="V3" s="9"/>
      <c r="W3" s="9"/>
      <c r="X3" s="9"/>
      <c r="Y3" s="9"/>
      <c r="Z3" s="9"/>
    </row>
    <row r="4">
      <c r="A4" s="9"/>
      <c r="B4" s="9"/>
      <c r="C4" s="9"/>
      <c r="D4" s="9"/>
      <c r="E4" s="18"/>
      <c r="F4" s="9"/>
      <c r="G4" s="9"/>
      <c r="H4" s="9"/>
      <c r="I4" s="9"/>
      <c r="J4" s="9"/>
      <c r="K4" s="9"/>
      <c r="L4" s="9"/>
      <c r="M4" s="9"/>
      <c r="N4" s="9"/>
      <c r="O4" s="9"/>
      <c r="P4" s="9"/>
      <c r="Q4" s="9"/>
      <c r="R4" s="9"/>
      <c r="S4" s="9"/>
      <c r="T4" s="9"/>
      <c r="U4" s="9"/>
      <c r="V4" s="9"/>
      <c r="W4" s="9"/>
      <c r="X4" s="9"/>
      <c r="Y4" s="9"/>
      <c r="Z4" s="9"/>
    </row>
    <row r="5">
      <c r="A5" s="9"/>
      <c r="B5" s="9"/>
      <c r="C5" s="9"/>
      <c r="D5" s="9"/>
      <c r="E5" s="18"/>
      <c r="F5" s="9"/>
      <c r="G5" s="9"/>
      <c r="H5" s="9"/>
      <c r="I5" s="9"/>
      <c r="J5" s="9"/>
      <c r="K5" s="9"/>
      <c r="L5" s="9"/>
      <c r="M5" s="9"/>
      <c r="N5" s="9"/>
      <c r="O5" s="9"/>
      <c r="P5" s="9"/>
      <c r="Q5" s="9"/>
      <c r="R5" s="9"/>
      <c r="S5" s="9"/>
      <c r="T5" s="9"/>
      <c r="U5" s="9"/>
      <c r="V5" s="9"/>
      <c r="W5" s="9"/>
      <c r="X5" s="9"/>
      <c r="Y5" s="9"/>
      <c r="Z5" s="9"/>
    </row>
    <row r="6">
      <c r="A6" s="9"/>
      <c r="B6" s="9"/>
      <c r="C6" s="9"/>
      <c r="D6" s="9"/>
      <c r="E6" s="18"/>
      <c r="F6" s="9"/>
      <c r="G6" s="9"/>
      <c r="H6" s="9"/>
      <c r="I6" s="9"/>
      <c r="J6" s="9"/>
      <c r="K6" s="9"/>
      <c r="L6" s="9"/>
      <c r="M6" s="9"/>
      <c r="N6" s="9"/>
      <c r="O6" s="9"/>
      <c r="P6" s="9"/>
      <c r="Q6" s="9"/>
      <c r="R6" s="9"/>
      <c r="S6" s="9"/>
      <c r="T6" s="9"/>
      <c r="U6" s="9"/>
      <c r="V6" s="9"/>
      <c r="W6" s="9"/>
      <c r="X6" s="9"/>
      <c r="Y6" s="9"/>
      <c r="Z6" s="9"/>
    </row>
    <row r="7">
      <c r="A7" s="9"/>
      <c r="B7" s="9"/>
      <c r="C7" s="9"/>
      <c r="D7" s="9"/>
      <c r="E7" s="18"/>
      <c r="F7" s="9"/>
      <c r="G7" s="9"/>
      <c r="H7" s="9"/>
      <c r="I7" s="9"/>
      <c r="J7" s="9"/>
      <c r="K7" s="9"/>
      <c r="L7" s="9"/>
      <c r="M7" s="9"/>
      <c r="N7" s="9"/>
      <c r="O7" s="9"/>
      <c r="P7" s="9"/>
      <c r="Q7" s="9"/>
      <c r="R7" s="9"/>
      <c r="S7" s="9"/>
      <c r="T7" s="9"/>
      <c r="U7" s="9"/>
      <c r="V7" s="9"/>
      <c r="W7" s="9"/>
      <c r="X7" s="9"/>
      <c r="Y7" s="9"/>
      <c r="Z7" s="9"/>
    </row>
    <row r="8">
      <c r="A8" s="9"/>
      <c r="B8" s="9"/>
      <c r="C8" s="9"/>
      <c r="D8" s="9"/>
      <c r="E8" s="18"/>
      <c r="F8" s="9"/>
      <c r="G8" s="9"/>
      <c r="H8" s="9"/>
      <c r="I8" s="9"/>
      <c r="J8" s="9"/>
      <c r="K8" s="9"/>
      <c r="L8" s="9"/>
      <c r="M8" s="9"/>
      <c r="N8" s="9"/>
      <c r="O8" s="9"/>
      <c r="P8" s="9"/>
      <c r="Q8" s="9"/>
      <c r="R8" s="9"/>
      <c r="S8" s="9"/>
      <c r="T8" s="9"/>
      <c r="U8" s="9"/>
      <c r="V8" s="9"/>
      <c r="W8" s="9"/>
      <c r="X8" s="9"/>
      <c r="Y8" s="9"/>
      <c r="Z8" s="9"/>
    </row>
    <row r="9">
      <c r="A9" s="9"/>
      <c r="B9" s="9"/>
      <c r="C9" s="9"/>
      <c r="D9" s="9"/>
      <c r="E9" s="18"/>
      <c r="F9" s="9"/>
      <c r="G9" s="9"/>
      <c r="H9" s="9"/>
      <c r="I9" s="9"/>
      <c r="J9" s="9"/>
      <c r="K9" s="9"/>
      <c r="L9" s="9"/>
      <c r="M9" s="9"/>
      <c r="N9" s="9"/>
      <c r="O9" s="9"/>
      <c r="P9" s="9"/>
      <c r="Q9" s="9"/>
      <c r="R9" s="9"/>
      <c r="S9" s="9"/>
      <c r="T9" s="9"/>
      <c r="U9" s="9"/>
      <c r="V9" s="9"/>
      <c r="W9" s="9"/>
      <c r="X9" s="9"/>
      <c r="Y9" s="9"/>
      <c r="Z9" s="9"/>
    </row>
    <row r="10">
      <c r="A10" s="9"/>
      <c r="B10" s="9"/>
      <c r="C10" s="9"/>
      <c r="D10" s="9"/>
      <c r="E10" s="18"/>
      <c r="F10" s="9"/>
      <c r="G10" s="9"/>
      <c r="H10" s="9"/>
      <c r="I10" s="9"/>
      <c r="J10" s="9"/>
      <c r="K10" s="9"/>
      <c r="L10" s="9"/>
      <c r="M10" s="9"/>
      <c r="N10" s="9"/>
      <c r="O10" s="9"/>
      <c r="P10" s="9"/>
      <c r="Q10" s="9"/>
      <c r="R10" s="9"/>
      <c r="S10" s="9"/>
      <c r="T10" s="9"/>
      <c r="U10" s="9"/>
      <c r="V10" s="9"/>
      <c r="W10" s="9"/>
      <c r="X10" s="9"/>
      <c r="Y10" s="9"/>
      <c r="Z10" s="9"/>
    </row>
    <row r="11">
      <c r="A11" s="9"/>
      <c r="B11" s="9"/>
      <c r="C11" s="9"/>
      <c r="D11" s="9"/>
      <c r="E11" s="18"/>
      <c r="F11" s="9"/>
      <c r="G11" s="9"/>
      <c r="H11" s="9"/>
      <c r="I11" s="9"/>
      <c r="J11" s="9"/>
      <c r="K11" s="9"/>
      <c r="L11" s="9"/>
      <c r="M11" s="9"/>
      <c r="N11" s="9"/>
      <c r="O11" s="9"/>
      <c r="P11" s="9"/>
      <c r="Q11" s="9"/>
      <c r="R11" s="9"/>
      <c r="S11" s="9"/>
      <c r="T11" s="9"/>
      <c r="U11" s="9"/>
      <c r="V11" s="9"/>
      <c r="W11" s="9"/>
      <c r="X11" s="9"/>
      <c r="Y11" s="9"/>
      <c r="Z11" s="9"/>
    </row>
    <row r="12">
      <c r="A12" s="9"/>
      <c r="B12" s="9"/>
      <c r="C12" s="9"/>
      <c r="D12" s="9"/>
      <c r="E12" s="18"/>
      <c r="F12" s="9"/>
      <c r="G12" s="9"/>
      <c r="H12" s="9"/>
      <c r="I12" s="9"/>
      <c r="J12" s="9"/>
      <c r="K12" s="9"/>
      <c r="L12" s="9"/>
      <c r="M12" s="9"/>
      <c r="N12" s="9"/>
      <c r="O12" s="9"/>
      <c r="P12" s="9"/>
      <c r="Q12" s="9"/>
      <c r="R12" s="9"/>
      <c r="S12" s="9"/>
      <c r="T12" s="9"/>
      <c r="U12" s="9"/>
      <c r="V12" s="9"/>
      <c r="W12" s="9"/>
      <c r="X12" s="9"/>
      <c r="Y12" s="9"/>
      <c r="Z12" s="9"/>
    </row>
    <row r="13">
      <c r="A13" s="9"/>
      <c r="B13" s="9"/>
      <c r="C13" s="9"/>
      <c r="D13" s="9"/>
      <c r="E13" s="18"/>
      <c r="F13" s="9"/>
      <c r="G13" s="9"/>
      <c r="H13" s="9"/>
      <c r="I13" s="9"/>
      <c r="J13" s="9"/>
      <c r="K13" s="9"/>
      <c r="L13" s="9"/>
      <c r="M13" s="9"/>
      <c r="N13" s="9"/>
      <c r="O13" s="9"/>
      <c r="P13" s="9"/>
      <c r="Q13" s="9"/>
      <c r="R13" s="9"/>
      <c r="S13" s="9"/>
      <c r="T13" s="9"/>
      <c r="U13" s="9"/>
      <c r="V13" s="9"/>
      <c r="W13" s="9"/>
      <c r="X13" s="9"/>
      <c r="Y13" s="9"/>
      <c r="Z13" s="9"/>
    </row>
    <row r="14">
      <c r="A14" s="9"/>
      <c r="B14" s="9"/>
      <c r="C14" s="9"/>
      <c r="D14" s="9"/>
      <c r="E14" s="18"/>
      <c r="F14" s="9"/>
      <c r="G14" s="9"/>
      <c r="H14" s="9"/>
      <c r="I14" s="9"/>
      <c r="J14" s="9"/>
      <c r="K14" s="9"/>
      <c r="L14" s="9"/>
      <c r="M14" s="9"/>
      <c r="N14" s="9"/>
      <c r="O14" s="9"/>
      <c r="P14" s="9"/>
      <c r="Q14" s="9"/>
      <c r="R14" s="9"/>
      <c r="S14" s="9"/>
      <c r="T14" s="9"/>
      <c r="U14" s="9"/>
      <c r="V14" s="9"/>
      <c r="W14" s="9"/>
      <c r="X14" s="9"/>
      <c r="Y14" s="9"/>
      <c r="Z14" s="9"/>
    </row>
    <row r="15">
      <c r="A15" s="9"/>
      <c r="B15" s="9"/>
      <c r="C15" s="9"/>
      <c r="D15" s="9"/>
      <c r="E15" s="18"/>
      <c r="F15" s="9"/>
      <c r="G15" s="9"/>
      <c r="H15" s="9"/>
      <c r="I15" s="9"/>
      <c r="J15" s="9"/>
      <c r="K15" s="9"/>
      <c r="L15" s="9"/>
      <c r="M15" s="9"/>
      <c r="N15" s="9"/>
      <c r="O15" s="9"/>
      <c r="P15" s="9"/>
      <c r="Q15" s="9"/>
      <c r="R15" s="9"/>
      <c r="S15" s="9"/>
      <c r="T15" s="9"/>
      <c r="U15" s="9"/>
      <c r="V15" s="9"/>
      <c r="W15" s="9"/>
      <c r="X15" s="9"/>
      <c r="Y15" s="9"/>
      <c r="Z15" s="9"/>
    </row>
    <row r="16">
      <c r="A16" s="9"/>
      <c r="B16" s="9"/>
      <c r="C16" s="9"/>
      <c r="D16" s="9"/>
      <c r="E16" s="18"/>
      <c r="F16" s="9"/>
      <c r="G16" s="9"/>
      <c r="H16" s="9"/>
      <c r="I16" s="9"/>
      <c r="J16" s="9"/>
      <c r="K16" s="9"/>
      <c r="L16" s="9"/>
      <c r="M16" s="9"/>
      <c r="N16" s="9"/>
      <c r="O16" s="9"/>
      <c r="P16" s="9"/>
      <c r="Q16" s="9"/>
      <c r="R16" s="9"/>
      <c r="S16" s="9"/>
      <c r="T16" s="9"/>
      <c r="U16" s="9"/>
      <c r="V16" s="9"/>
      <c r="W16" s="9"/>
      <c r="X16" s="9"/>
      <c r="Y16" s="9"/>
      <c r="Z16" s="9"/>
    </row>
    <row r="17">
      <c r="A17" s="9"/>
      <c r="B17" s="9"/>
      <c r="C17" s="9"/>
      <c r="D17" s="9"/>
      <c r="E17" s="18"/>
      <c r="F17" s="9"/>
      <c r="G17" s="9"/>
      <c r="H17" s="9"/>
      <c r="I17" s="9"/>
      <c r="J17" s="9"/>
      <c r="K17" s="9"/>
      <c r="L17" s="9"/>
      <c r="M17" s="9"/>
      <c r="N17" s="9"/>
      <c r="O17" s="9"/>
      <c r="P17" s="9"/>
      <c r="Q17" s="9"/>
      <c r="R17" s="9"/>
      <c r="S17" s="9"/>
      <c r="T17" s="9"/>
      <c r="U17" s="9"/>
      <c r="V17" s="9"/>
      <c r="W17" s="9"/>
      <c r="X17" s="9"/>
      <c r="Y17" s="9"/>
      <c r="Z17" s="9"/>
    </row>
    <row r="18">
      <c r="A18" s="9"/>
      <c r="B18" s="9"/>
      <c r="C18" s="9"/>
      <c r="D18" s="9"/>
      <c r="E18" s="18"/>
      <c r="F18" s="9"/>
      <c r="G18" s="9"/>
      <c r="H18" s="9"/>
      <c r="I18" s="9"/>
      <c r="J18" s="9"/>
      <c r="K18" s="9"/>
      <c r="L18" s="9"/>
      <c r="M18" s="9"/>
      <c r="N18" s="9"/>
      <c r="O18" s="9"/>
      <c r="P18" s="9"/>
      <c r="Q18" s="9"/>
      <c r="R18" s="9"/>
      <c r="S18" s="9"/>
      <c r="T18" s="9"/>
      <c r="U18" s="9"/>
      <c r="V18" s="9"/>
      <c r="W18" s="9"/>
      <c r="X18" s="9"/>
      <c r="Y18" s="9"/>
      <c r="Z18" s="9"/>
    </row>
    <row r="19">
      <c r="A19" s="9"/>
      <c r="B19" s="9"/>
      <c r="C19" s="9"/>
      <c r="D19" s="9"/>
      <c r="E19" s="18"/>
      <c r="F19" s="9"/>
      <c r="G19" s="9"/>
      <c r="H19" s="9"/>
      <c r="I19" s="9"/>
      <c r="J19" s="9"/>
      <c r="K19" s="9"/>
      <c r="L19" s="9"/>
      <c r="M19" s="9"/>
      <c r="N19" s="9"/>
      <c r="O19" s="9"/>
      <c r="P19" s="9"/>
      <c r="Q19" s="9"/>
      <c r="R19" s="9"/>
      <c r="S19" s="9"/>
      <c r="T19" s="9"/>
      <c r="U19" s="9"/>
      <c r="V19" s="9"/>
      <c r="W19" s="9"/>
      <c r="X19" s="9"/>
      <c r="Y19" s="9"/>
      <c r="Z19" s="9"/>
    </row>
    <row r="20">
      <c r="A20" s="9"/>
      <c r="B20" s="9"/>
      <c r="C20" s="9"/>
      <c r="D20" s="9"/>
      <c r="E20" s="18"/>
      <c r="F20" s="9"/>
      <c r="G20" s="9"/>
      <c r="H20" s="9"/>
      <c r="I20" s="9"/>
      <c r="J20" s="9"/>
      <c r="K20" s="9"/>
      <c r="L20" s="9"/>
      <c r="M20" s="9"/>
      <c r="N20" s="9"/>
      <c r="O20" s="9"/>
      <c r="P20" s="9"/>
      <c r="Q20" s="9"/>
      <c r="R20" s="9"/>
      <c r="S20" s="9"/>
      <c r="T20" s="9"/>
      <c r="U20" s="9"/>
      <c r="V20" s="9"/>
      <c r="W20" s="9"/>
      <c r="X20" s="9"/>
      <c r="Y20" s="9"/>
      <c r="Z20" s="9"/>
    </row>
    <row r="21">
      <c r="A21" s="9"/>
      <c r="B21" s="9"/>
      <c r="C21" s="9"/>
      <c r="D21" s="9"/>
      <c r="E21" s="18"/>
      <c r="F21" s="9"/>
      <c r="G21" s="9"/>
      <c r="H21" s="9"/>
      <c r="I21" s="9"/>
      <c r="J21" s="9"/>
      <c r="K21" s="9"/>
      <c r="L21" s="9"/>
      <c r="M21" s="9"/>
      <c r="N21" s="9"/>
      <c r="O21" s="9"/>
      <c r="P21" s="9"/>
      <c r="Q21" s="9"/>
      <c r="R21" s="9"/>
      <c r="S21" s="9"/>
      <c r="T21" s="9"/>
      <c r="U21" s="9"/>
      <c r="V21" s="9"/>
      <c r="W21" s="9"/>
      <c r="X21" s="9"/>
      <c r="Y21" s="9"/>
      <c r="Z21" s="9"/>
    </row>
    <row r="22">
      <c r="A22" s="9"/>
      <c r="B22" s="9"/>
      <c r="C22" s="9"/>
      <c r="D22" s="9"/>
      <c r="E22" s="18"/>
      <c r="F22" s="9"/>
      <c r="G22" s="9"/>
      <c r="H22" s="9"/>
      <c r="I22" s="9"/>
      <c r="J22" s="9"/>
      <c r="K22" s="9"/>
      <c r="L22" s="9"/>
      <c r="M22" s="9"/>
      <c r="N22" s="9"/>
      <c r="O22" s="9"/>
      <c r="P22" s="9"/>
      <c r="Q22" s="9"/>
      <c r="R22" s="9"/>
      <c r="S22" s="9"/>
      <c r="T22" s="9"/>
      <c r="U22" s="9"/>
      <c r="V22" s="9"/>
      <c r="W22" s="9"/>
      <c r="X22" s="9"/>
      <c r="Y22" s="9"/>
      <c r="Z22" s="9"/>
    </row>
    <row r="23">
      <c r="A23" s="9"/>
      <c r="B23" s="9"/>
      <c r="C23" s="9"/>
      <c r="D23" s="9"/>
      <c r="E23" s="18"/>
      <c r="F23" s="9"/>
      <c r="G23" s="9"/>
      <c r="H23" s="9"/>
      <c r="I23" s="9"/>
      <c r="J23" s="9"/>
      <c r="K23" s="9"/>
      <c r="L23" s="9"/>
      <c r="M23" s="9"/>
      <c r="N23" s="9"/>
      <c r="O23" s="9"/>
      <c r="P23" s="9"/>
      <c r="Q23" s="9"/>
      <c r="R23" s="9"/>
      <c r="S23" s="9"/>
      <c r="T23" s="9"/>
      <c r="U23" s="9"/>
      <c r="V23" s="9"/>
      <c r="W23" s="9"/>
      <c r="X23" s="9"/>
      <c r="Y23" s="9"/>
      <c r="Z23" s="9"/>
    </row>
    <row r="24">
      <c r="A24" s="9"/>
      <c r="B24" s="9"/>
      <c r="C24" s="9"/>
      <c r="D24" s="9"/>
      <c r="E24" s="18"/>
      <c r="F24" s="9"/>
      <c r="G24" s="9"/>
      <c r="H24" s="9"/>
      <c r="I24" s="9"/>
      <c r="J24" s="9"/>
      <c r="K24" s="9"/>
      <c r="L24" s="9"/>
      <c r="M24" s="9"/>
      <c r="N24" s="9"/>
      <c r="O24" s="9"/>
      <c r="P24" s="9"/>
      <c r="Q24" s="9"/>
      <c r="R24" s="9"/>
      <c r="S24" s="9"/>
      <c r="T24" s="9"/>
      <c r="U24" s="9"/>
      <c r="V24" s="9"/>
      <c r="W24" s="9"/>
      <c r="X24" s="9"/>
      <c r="Y24" s="9"/>
      <c r="Z24" s="9"/>
    </row>
    <row r="25">
      <c r="A25" s="9"/>
      <c r="B25" s="9"/>
      <c r="C25" s="9"/>
      <c r="D25" s="9"/>
      <c r="E25" s="18"/>
      <c r="F25" s="9"/>
      <c r="G25" s="9"/>
      <c r="H25" s="9"/>
      <c r="I25" s="9"/>
      <c r="J25" s="9"/>
      <c r="K25" s="9"/>
      <c r="L25" s="9"/>
      <c r="M25" s="9"/>
      <c r="N25" s="9"/>
      <c r="O25" s="9"/>
      <c r="P25" s="9"/>
      <c r="Q25" s="9"/>
      <c r="R25" s="9"/>
      <c r="S25" s="9"/>
      <c r="T25" s="9"/>
      <c r="U25" s="9"/>
      <c r="V25" s="9"/>
      <c r="W25" s="9"/>
      <c r="X25" s="9"/>
      <c r="Y25" s="9"/>
      <c r="Z25" s="9"/>
    </row>
    <row r="26">
      <c r="A26" s="9"/>
      <c r="B26" s="9"/>
      <c r="C26" s="9"/>
      <c r="D26" s="9"/>
      <c r="E26" s="18"/>
      <c r="F26" s="9"/>
      <c r="G26" s="9"/>
      <c r="H26" s="9"/>
      <c r="I26" s="9"/>
      <c r="J26" s="9"/>
      <c r="K26" s="9"/>
      <c r="L26" s="9"/>
      <c r="M26" s="9"/>
      <c r="N26" s="9"/>
      <c r="O26" s="9"/>
      <c r="P26" s="9"/>
      <c r="Q26" s="9"/>
      <c r="R26" s="9"/>
      <c r="S26" s="9"/>
      <c r="T26" s="9"/>
      <c r="U26" s="9"/>
      <c r="V26" s="9"/>
      <c r="W26" s="9"/>
      <c r="X26" s="9"/>
      <c r="Y26" s="9"/>
      <c r="Z26" s="9"/>
    </row>
    <row r="27">
      <c r="A27" s="9"/>
      <c r="B27" s="9"/>
      <c r="C27" s="9"/>
      <c r="D27" s="9"/>
      <c r="E27" s="18"/>
      <c r="F27" s="9"/>
      <c r="G27" s="9"/>
      <c r="H27" s="9"/>
      <c r="I27" s="9"/>
      <c r="J27" s="9"/>
      <c r="K27" s="9"/>
      <c r="L27" s="9"/>
      <c r="M27" s="9"/>
      <c r="N27" s="9"/>
      <c r="O27" s="9"/>
      <c r="P27" s="9"/>
      <c r="Q27" s="9"/>
      <c r="R27" s="9"/>
      <c r="S27" s="9"/>
      <c r="T27" s="9"/>
      <c r="U27" s="9"/>
      <c r="V27" s="9"/>
      <c r="W27" s="9"/>
      <c r="X27" s="9"/>
      <c r="Y27" s="9"/>
      <c r="Z27" s="9"/>
    </row>
    <row r="28">
      <c r="A28" s="9"/>
      <c r="B28" s="9"/>
      <c r="C28" s="9"/>
      <c r="D28" s="9"/>
      <c r="E28" s="18"/>
      <c r="F28" s="9"/>
      <c r="G28" s="9"/>
      <c r="H28" s="9"/>
      <c r="I28" s="9"/>
      <c r="J28" s="9"/>
      <c r="K28" s="9"/>
      <c r="L28" s="9"/>
      <c r="M28" s="9"/>
      <c r="N28" s="9"/>
      <c r="O28" s="9"/>
      <c r="P28" s="9"/>
      <c r="Q28" s="9"/>
      <c r="R28" s="9"/>
      <c r="S28" s="9"/>
      <c r="T28" s="9"/>
      <c r="U28" s="9"/>
      <c r="V28" s="9"/>
      <c r="W28" s="9"/>
      <c r="X28" s="9"/>
      <c r="Y28" s="9"/>
      <c r="Z28" s="9"/>
    </row>
    <row r="29">
      <c r="A29" s="9"/>
      <c r="B29" s="9"/>
      <c r="C29" s="9"/>
      <c r="D29" s="9"/>
      <c r="E29" s="18"/>
      <c r="F29" s="9"/>
      <c r="G29" s="9"/>
      <c r="H29" s="9"/>
      <c r="I29" s="9"/>
      <c r="J29" s="9"/>
      <c r="K29" s="9"/>
      <c r="L29" s="9"/>
      <c r="M29" s="9"/>
      <c r="N29" s="9"/>
      <c r="O29" s="9"/>
      <c r="P29" s="9"/>
      <c r="Q29" s="9"/>
      <c r="R29" s="9"/>
      <c r="S29" s="9"/>
      <c r="T29" s="9"/>
      <c r="U29" s="9"/>
      <c r="V29" s="9"/>
      <c r="W29" s="9"/>
      <c r="X29" s="9"/>
      <c r="Y29" s="9"/>
      <c r="Z29" s="9"/>
    </row>
    <row r="30">
      <c r="A30" s="9"/>
      <c r="B30" s="9"/>
      <c r="C30" s="9"/>
      <c r="D30" s="9"/>
      <c r="E30" s="18"/>
      <c r="F30" s="9"/>
      <c r="G30" s="9"/>
      <c r="H30" s="9"/>
      <c r="I30" s="9"/>
      <c r="J30" s="9"/>
      <c r="K30" s="9"/>
      <c r="L30" s="9"/>
      <c r="M30" s="9"/>
      <c r="N30" s="9"/>
      <c r="O30" s="9"/>
      <c r="P30" s="9"/>
      <c r="Q30" s="9"/>
      <c r="R30" s="9"/>
      <c r="S30" s="9"/>
      <c r="T30" s="9"/>
      <c r="U30" s="9"/>
      <c r="V30" s="9"/>
      <c r="W30" s="9"/>
      <c r="X30" s="9"/>
      <c r="Y30" s="9"/>
      <c r="Z30" s="9"/>
    </row>
    <row r="31">
      <c r="A31" s="9"/>
      <c r="B31" s="9"/>
      <c r="C31" s="9"/>
      <c r="D31" s="9"/>
      <c r="E31" s="18"/>
      <c r="F31" s="9"/>
      <c r="G31" s="9"/>
      <c r="H31" s="9"/>
      <c r="I31" s="9"/>
      <c r="J31" s="9"/>
      <c r="K31" s="9"/>
      <c r="L31" s="9"/>
      <c r="M31" s="9"/>
      <c r="N31" s="9"/>
      <c r="O31" s="9"/>
      <c r="P31" s="9"/>
      <c r="Q31" s="9"/>
      <c r="R31" s="9"/>
      <c r="S31" s="9"/>
      <c r="T31" s="9"/>
      <c r="U31" s="9"/>
      <c r="V31" s="9"/>
      <c r="W31" s="9"/>
      <c r="X31" s="9"/>
      <c r="Y31" s="9"/>
      <c r="Z31" s="9"/>
    </row>
    <row r="32">
      <c r="A32" s="9"/>
      <c r="B32" s="9"/>
      <c r="C32" s="9"/>
      <c r="D32" s="9"/>
      <c r="E32" s="18"/>
      <c r="F32" s="9"/>
      <c r="G32" s="9"/>
      <c r="H32" s="9"/>
      <c r="I32" s="9"/>
      <c r="J32" s="9"/>
      <c r="K32" s="9"/>
      <c r="L32" s="9"/>
      <c r="M32" s="9"/>
      <c r="N32" s="9"/>
      <c r="O32" s="9"/>
      <c r="P32" s="9"/>
      <c r="Q32" s="9"/>
      <c r="R32" s="9"/>
      <c r="S32" s="9"/>
      <c r="T32" s="9"/>
      <c r="U32" s="9"/>
      <c r="V32" s="9"/>
      <c r="W32" s="9"/>
      <c r="X32" s="9"/>
      <c r="Y32" s="9"/>
      <c r="Z32" s="9"/>
    </row>
    <row r="33">
      <c r="A33" s="9"/>
      <c r="B33" s="9"/>
      <c r="C33" s="9"/>
      <c r="D33" s="9"/>
      <c r="E33" s="18"/>
      <c r="F33" s="9"/>
      <c r="G33" s="9"/>
      <c r="H33" s="9"/>
      <c r="I33" s="9"/>
      <c r="J33" s="9"/>
      <c r="K33" s="9"/>
      <c r="L33" s="9"/>
      <c r="M33" s="9"/>
      <c r="N33" s="9"/>
      <c r="O33" s="9"/>
      <c r="P33" s="9"/>
      <c r="Q33" s="9"/>
      <c r="R33" s="9"/>
      <c r="S33" s="9"/>
      <c r="T33" s="9"/>
      <c r="U33" s="9"/>
      <c r="V33" s="9"/>
      <c r="W33" s="9"/>
      <c r="X33" s="9"/>
      <c r="Y33" s="9"/>
      <c r="Z33" s="9"/>
    </row>
    <row r="34">
      <c r="A34" s="9"/>
      <c r="B34" s="9"/>
      <c r="C34" s="9"/>
      <c r="D34" s="9"/>
      <c r="E34" s="18"/>
      <c r="F34" s="9"/>
      <c r="G34" s="9"/>
      <c r="H34" s="9"/>
      <c r="I34" s="9"/>
      <c r="J34" s="9"/>
      <c r="K34" s="9"/>
      <c r="L34" s="9"/>
      <c r="M34" s="9"/>
      <c r="N34" s="9"/>
      <c r="O34" s="9"/>
      <c r="P34" s="9"/>
      <c r="Q34" s="9"/>
      <c r="R34" s="9"/>
      <c r="S34" s="9"/>
      <c r="T34" s="9"/>
      <c r="U34" s="9"/>
      <c r="V34" s="9"/>
      <c r="W34" s="9"/>
      <c r="X34" s="9"/>
      <c r="Y34" s="9"/>
      <c r="Z34" s="9"/>
    </row>
    <row r="35">
      <c r="A35" s="9"/>
      <c r="B35" s="9"/>
      <c r="C35" s="9"/>
      <c r="D35" s="9"/>
      <c r="E35" s="18"/>
      <c r="F35" s="9"/>
      <c r="G35" s="9"/>
      <c r="H35" s="9"/>
      <c r="I35" s="9"/>
      <c r="J35" s="9"/>
      <c r="K35" s="9"/>
      <c r="L35" s="9"/>
      <c r="M35" s="9"/>
      <c r="N35" s="9"/>
      <c r="O35" s="9"/>
      <c r="P35" s="9"/>
      <c r="Q35" s="9"/>
      <c r="R35" s="9"/>
      <c r="S35" s="9"/>
      <c r="T35" s="9"/>
      <c r="U35" s="9"/>
      <c r="V35" s="9"/>
      <c r="W35" s="9"/>
      <c r="X35" s="9"/>
      <c r="Y35" s="9"/>
      <c r="Z35" s="9"/>
    </row>
    <row r="36">
      <c r="A36" s="9"/>
      <c r="B36" s="9"/>
      <c r="C36" s="9"/>
      <c r="D36" s="9"/>
      <c r="E36" s="18"/>
      <c r="F36" s="9"/>
      <c r="G36" s="9"/>
      <c r="H36" s="9"/>
      <c r="I36" s="9"/>
      <c r="J36" s="9"/>
      <c r="K36" s="9"/>
      <c r="L36" s="9"/>
      <c r="M36" s="9"/>
      <c r="N36" s="9"/>
      <c r="O36" s="9"/>
      <c r="P36" s="9"/>
      <c r="Q36" s="9"/>
      <c r="R36" s="9"/>
      <c r="S36" s="9"/>
      <c r="T36" s="9"/>
      <c r="U36" s="9"/>
      <c r="V36" s="9"/>
      <c r="W36" s="9"/>
      <c r="X36" s="9"/>
      <c r="Y36" s="9"/>
      <c r="Z36" s="9"/>
    </row>
    <row r="37">
      <c r="A37" s="9"/>
      <c r="B37" s="9"/>
      <c r="C37" s="9"/>
      <c r="D37" s="9"/>
      <c r="E37" s="18"/>
      <c r="F37" s="9"/>
      <c r="G37" s="9"/>
      <c r="H37" s="9"/>
      <c r="I37" s="9"/>
      <c r="J37" s="9"/>
      <c r="K37" s="9"/>
      <c r="L37" s="9"/>
      <c r="M37" s="9"/>
      <c r="N37" s="9"/>
      <c r="O37" s="9"/>
      <c r="P37" s="9"/>
      <c r="Q37" s="9"/>
      <c r="R37" s="9"/>
      <c r="S37" s="9"/>
      <c r="T37" s="9"/>
      <c r="U37" s="9"/>
      <c r="V37" s="9"/>
      <c r="W37" s="9"/>
      <c r="X37" s="9"/>
      <c r="Y37" s="9"/>
      <c r="Z37" s="9"/>
    </row>
    <row r="38">
      <c r="A38" s="9"/>
      <c r="B38" s="9"/>
      <c r="C38" s="9"/>
      <c r="D38" s="9"/>
      <c r="E38" s="18"/>
      <c r="F38" s="9"/>
      <c r="G38" s="9"/>
      <c r="H38" s="9"/>
      <c r="I38" s="9"/>
      <c r="J38" s="9"/>
      <c r="K38" s="9"/>
      <c r="L38" s="9"/>
      <c r="M38" s="9"/>
      <c r="N38" s="9"/>
      <c r="O38" s="9"/>
      <c r="P38" s="9"/>
      <c r="Q38" s="9"/>
      <c r="R38" s="9"/>
      <c r="S38" s="9"/>
      <c r="T38" s="9"/>
      <c r="U38" s="9"/>
      <c r="V38" s="9"/>
      <c r="W38" s="9"/>
      <c r="X38" s="9"/>
      <c r="Y38" s="9"/>
      <c r="Z38" s="9"/>
    </row>
    <row r="39">
      <c r="A39" s="9"/>
      <c r="B39" s="9"/>
      <c r="C39" s="9"/>
      <c r="D39" s="9"/>
      <c r="E39" s="18"/>
      <c r="F39" s="9"/>
      <c r="G39" s="9"/>
      <c r="H39" s="9"/>
      <c r="I39" s="9"/>
      <c r="J39" s="9"/>
      <c r="K39" s="9"/>
      <c r="L39" s="9"/>
      <c r="M39" s="9"/>
      <c r="N39" s="9"/>
      <c r="O39" s="9"/>
      <c r="P39" s="9"/>
      <c r="Q39" s="9"/>
      <c r="R39" s="9"/>
      <c r="S39" s="9"/>
      <c r="T39" s="9"/>
      <c r="U39" s="9"/>
      <c r="V39" s="9"/>
      <c r="W39" s="9"/>
      <c r="X39" s="9"/>
      <c r="Y39" s="9"/>
      <c r="Z39" s="9"/>
    </row>
    <row r="40">
      <c r="A40" s="9"/>
      <c r="B40" s="9"/>
      <c r="C40" s="9"/>
      <c r="D40" s="9"/>
      <c r="E40" s="18"/>
      <c r="F40" s="9"/>
      <c r="G40" s="9"/>
      <c r="H40" s="9"/>
      <c r="I40" s="9"/>
      <c r="J40" s="9"/>
      <c r="K40" s="9"/>
      <c r="L40" s="9"/>
      <c r="M40" s="9"/>
      <c r="N40" s="9"/>
      <c r="O40" s="9"/>
      <c r="P40" s="9"/>
      <c r="Q40" s="9"/>
      <c r="R40" s="9"/>
      <c r="S40" s="9"/>
      <c r="T40" s="9"/>
      <c r="U40" s="9"/>
      <c r="V40" s="9"/>
      <c r="W40" s="9"/>
      <c r="X40" s="9"/>
      <c r="Y40" s="9"/>
      <c r="Z40" s="9"/>
    </row>
    <row r="41">
      <c r="A41" s="9"/>
      <c r="B41" s="9"/>
      <c r="C41" s="9"/>
      <c r="D41" s="9"/>
      <c r="E41" s="18"/>
      <c r="F41" s="9"/>
      <c r="G41" s="9"/>
      <c r="H41" s="9"/>
      <c r="I41" s="9"/>
      <c r="J41" s="9"/>
      <c r="K41" s="9"/>
      <c r="L41" s="9"/>
      <c r="M41" s="9"/>
      <c r="N41" s="9"/>
      <c r="O41" s="9"/>
      <c r="P41" s="9"/>
      <c r="Q41" s="9"/>
      <c r="R41" s="9"/>
      <c r="S41" s="9"/>
      <c r="T41" s="9"/>
      <c r="U41" s="9"/>
      <c r="V41" s="9"/>
      <c r="W41" s="9"/>
      <c r="X41" s="9"/>
      <c r="Y41" s="9"/>
      <c r="Z41" s="9"/>
    </row>
    <row r="42">
      <c r="A42" s="9"/>
      <c r="B42" s="9"/>
      <c r="C42" s="9"/>
      <c r="D42" s="9"/>
      <c r="E42" s="18"/>
      <c r="F42" s="9"/>
      <c r="G42" s="9"/>
      <c r="H42" s="9"/>
      <c r="I42" s="9"/>
      <c r="J42" s="9"/>
      <c r="K42" s="9"/>
      <c r="L42" s="9"/>
      <c r="M42" s="9"/>
      <c r="N42" s="9"/>
      <c r="O42" s="9"/>
      <c r="P42" s="9"/>
      <c r="Q42" s="9"/>
      <c r="R42" s="9"/>
      <c r="S42" s="9"/>
      <c r="T42" s="9"/>
      <c r="U42" s="9"/>
      <c r="V42" s="9"/>
      <c r="W42" s="9"/>
      <c r="X42" s="9"/>
      <c r="Y42" s="9"/>
      <c r="Z42" s="9"/>
    </row>
    <row r="43">
      <c r="A43" s="9"/>
      <c r="B43" s="9"/>
      <c r="C43" s="9"/>
      <c r="D43" s="9"/>
      <c r="E43" s="18"/>
      <c r="F43" s="9"/>
      <c r="G43" s="9"/>
      <c r="H43" s="9"/>
      <c r="I43" s="9"/>
      <c r="J43" s="9"/>
      <c r="K43" s="9"/>
      <c r="L43" s="9"/>
      <c r="M43" s="9"/>
      <c r="N43" s="9"/>
      <c r="O43" s="9"/>
      <c r="P43" s="9"/>
      <c r="Q43" s="9"/>
      <c r="R43" s="9"/>
      <c r="S43" s="9"/>
      <c r="T43" s="9"/>
      <c r="U43" s="9"/>
      <c r="V43" s="9"/>
      <c r="W43" s="9"/>
      <c r="X43" s="9"/>
      <c r="Y43" s="9"/>
      <c r="Z43" s="9"/>
    </row>
    <row r="44">
      <c r="A44" s="9"/>
      <c r="B44" s="9"/>
      <c r="C44" s="9"/>
      <c r="D44" s="9"/>
      <c r="E44" s="18"/>
      <c r="F44" s="9"/>
      <c r="G44" s="9"/>
      <c r="H44" s="9"/>
      <c r="I44" s="9"/>
      <c r="J44" s="9"/>
      <c r="K44" s="9"/>
      <c r="L44" s="9"/>
      <c r="M44" s="9"/>
      <c r="N44" s="9"/>
      <c r="O44" s="9"/>
      <c r="P44" s="9"/>
      <c r="Q44" s="9"/>
      <c r="R44" s="9"/>
      <c r="S44" s="9"/>
      <c r="T44" s="9"/>
      <c r="U44" s="9"/>
      <c r="V44" s="9"/>
      <c r="W44" s="9"/>
      <c r="X44" s="9"/>
      <c r="Y44" s="9"/>
      <c r="Z44" s="9"/>
    </row>
    <row r="45">
      <c r="A45" s="9"/>
      <c r="B45" s="9"/>
      <c r="C45" s="9"/>
      <c r="D45" s="9"/>
      <c r="E45" s="18"/>
      <c r="F45" s="9"/>
      <c r="G45" s="9"/>
      <c r="H45" s="9"/>
      <c r="I45" s="9"/>
      <c r="J45" s="9"/>
      <c r="K45" s="9"/>
      <c r="L45" s="9"/>
      <c r="M45" s="9"/>
      <c r="N45" s="9"/>
      <c r="O45" s="9"/>
      <c r="P45" s="9"/>
      <c r="Q45" s="9"/>
      <c r="R45" s="9"/>
      <c r="S45" s="9"/>
      <c r="T45" s="9"/>
      <c r="U45" s="9"/>
      <c r="V45" s="9"/>
      <c r="W45" s="9"/>
      <c r="X45" s="9"/>
      <c r="Y45" s="9"/>
      <c r="Z45" s="9"/>
    </row>
    <row r="46">
      <c r="A46" s="9"/>
      <c r="B46" s="9"/>
      <c r="C46" s="9"/>
      <c r="D46" s="9"/>
      <c r="E46" s="18"/>
      <c r="F46" s="9"/>
      <c r="G46" s="9"/>
      <c r="H46" s="9"/>
      <c r="I46" s="9"/>
      <c r="J46" s="9"/>
      <c r="K46" s="9"/>
      <c r="L46" s="9"/>
      <c r="M46" s="9"/>
      <c r="N46" s="9"/>
      <c r="O46" s="9"/>
      <c r="P46" s="9"/>
      <c r="Q46" s="9"/>
      <c r="R46" s="9"/>
      <c r="S46" s="9"/>
      <c r="T46" s="9"/>
      <c r="U46" s="9"/>
      <c r="V46" s="9"/>
      <c r="W46" s="9"/>
      <c r="X46" s="9"/>
      <c r="Y46" s="9"/>
      <c r="Z46" s="9"/>
    </row>
    <row r="47">
      <c r="A47" s="9"/>
      <c r="B47" s="9"/>
      <c r="C47" s="9"/>
      <c r="D47" s="9"/>
      <c r="E47" s="18"/>
      <c r="F47" s="9"/>
      <c r="G47" s="9"/>
      <c r="H47" s="9"/>
      <c r="I47" s="9"/>
      <c r="J47" s="9"/>
      <c r="K47" s="9"/>
      <c r="L47" s="9"/>
      <c r="M47" s="9"/>
      <c r="N47" s="9"/>
      <c r="O47" s="9"/>
      <c r="P47" s="9"/>
      <c r="Q47" s="9"/>
      <c r="R47" s="9"/>
      <c r="S47" s="9"/>
      <c r="T47" s="9"/>
      <c r="U47" s="9"/>
      <c r="V47" s="9"/>
      <c r="W47" s="9"/>
      <c r="X47" s="9"/>
      <c r="Y47" s="9"/>
      <c r="Z47" s="9"/>
    </row>
    <row r="48">
      <c r="A48" s="9"/>
      <c r="B48" s="9"/>
      <c r="C48" s="9"/>
      <c r="D48" s="9"/>
      <c r="E48" s="18"/>
      <c r="F48" s="9"/>
      <c r="G48" s="9"/>
      <c r="H48" s="9"/>
      <c r="I48" s="9"/>
      <c r="J48" s="9"/>
      <c r="K48" s="9"/>
      <c r="L48" s="9"/>
      <c r="M48" s="9"/>
      <c r="N48" s="9"/>
      <c r="O48" s="9"/>
      <c r="P48" s="9"/>
      <c r="Q48" s="9"/>
      <c r="R48" s="9"/>
      <c r="S48" s="9"/>
      <c r="T48" s="9"/>
      <c r="U48" s="9"/>
      <c r="V48" s="9"/>
      <c r="W48" s="9"/>
      <c r="X48" s="9"/>
      <c r="Y48" s="9"/>
      <c r="Z48" s="9"/>
    </row>
    <row r="49">
      <c r="A49" s="9"/>
      <c r="B49" s="9"/>
      <c r="C49" s="9"/>
      <c r="D49" s="9"/>
      <c r="E49" s="18"/>
      <c r="F49" s="9"/>
      <c r="G49" s="9"/>
      <c r="H49" s="9"/>
      <c r="I49" s="9"/>
      <c r="J49" s="9"/>
      <c r="K49" s="9"/>
      <c r="L49" s="9"/>
      <c r="M49" s="9"/>
      <c r="N49" s="9"/>
      <c r="O49" s="9"/>
      <c r="P49" s="9"/>
      <c r="Q49" s="9"/>
      <c r="R49" s="9"/>
      <c r="S49" s="9"/>
      <c r="T49" s="9"/>
      <c r="U49" s="9"/>
      <c r="V49" s="9"/>
      <c r="W49" s="9"/>
      <c r="X49" s="9"/>
      <c r="Y49" s="9"/>
      <c r="Z49" s="9"/>
    </row>
    <row r="50">
      <c r="A50" s="9"/>
      <c r="B50" s="9"/>
      <c r="C50" s="9"/>
      <c r="D50" s="9"/>
      <c r="E50" s="18"/>
      <c r="F50" s="9"/>
      <c r="G50" s="9"/>
      <c r="H50" s="9"/>
      <c r="I50" s="9"/>
      <c r="J50" s="9"/>
      <c r="K50" s="9"/>
      <c r="L50" s="9"/>
      <c r="M50" s="9"/>
      <c r="N50" s="9"/>
      <c r="O50" s="9"/>
      <c r="P50" s="9"/>
      <c r="Q50" s="9"/>
      <c r="R50" s="9"/>
      <c r="S50" s="9"/>
      <c r="T50" s="9"/>
      <c r="U50" s="9"/>
      <c r="V50" s="9"/>
      <c r="W50" s="9"/>
      <c r="X50" s="9"/>
      <c r="Y50" s="9"/>
      <c r="Z50" s="9"/>
    </row>
    <row r="51">
      <c r="A51" s="9"/>
      <c r="B51" s="9"/>
      <c r="C51" s="9"/>
      <c r="D51" s="9"/>
      <c r="E51" s="18"/>
      <c r="F51" s="9"/>
      <c r="G51" s="9"/>
      <c r="H51" s="9"/>
      <c r="I51" s="9"/>
      <c r="J51" s="9"/>
      <c r="K51" s="9"/>
      <c r="L51" s="9"/>
      <c r="M51" s="9"/>
      <c r="N51" s="9"/>
      <c r="O51" s="9"/>
      <c r="P51" s="9"/>
      <c r="Q51" s="9"/>
      <c r="R51" s="9"/>
      <c r="S51" s="9"/>
      <c r="T51" s="9"/>
      <c r="U51" s="9"/>
      <c r="V51" s="9"/>
      <c r="W51" s="9"/>
      <c r="X51" s="9"/>
      <c r="Y51" s="9"/>
      <c r="Z51" s="9"/>
    </row>
    <row r="52">
      <c r="A52" s="9"/>
      <c r="B52" s="9"/>
      <c r="C52" s="9"/>
      <c r="D52" s="9"/>
      <c r="E52" s="18"/>
      <c r="F52" s="9"/>
      <c r="G52" s="9"/>
      <c r="H52" s="9"/>
      <c r="I52" s="9"/>
      <c r="J52" s="9"/>
      <c r="K52" s="9"/>
      <c r="L52" s="9"/>
      <c r="M52" s="9"/>
      <c r="N52" s="9"/>
      <c r="O52" s="9"/>
      <c r="P52" s="9"/>
      <c r="Q52" s="9"/>
      <c r="R52" s="9"/>
      <c r="S52" s="9"/>
      <c r="T52" s="9"/>
      <c r="U52" s="9"/>
      <c r="V52" s="9"/>
      <c r="W52" s="9"/>
      <c r="X52" s="9"/>
      <c r="Y52" s="9"/>
      <c r="Z52" s="9"/>
    </row>
    <row r="53">
      <c r="A53" s="9"/>
      <c r="B53" s="9"/>
      <c r="C53" s="9"/>
      <c r="D53" s="9"/>
      <c r="E53" s="18"/>
      <c r="F53" s="9"/>
      <c r="G53" s="9"/>
      <c r="H53" s="9"/>
      <c r="I53" s="9"/>
      <c r="J53" s="9"/>
      <c r="K53" s="9"/>
      <c r="L53" s="9"/>
      <c r="M53" s="9"/>
      <c r="N53" s="9"/>
      <c r="O53" s="9"/>
      <c r="P53" s="9"/>
      <c r="Q53" s="9"/>
      <c r="R53" s="9"/>
      <c r="S53" s="9"/>
      <c r="T53" s="9"/>
      <c r="U53" s="9"/>
      <c r="V53" s="9"/>
      <c r="W53" s="9"/>
      <c r="X53" s="9"/>
      <c r="Y53" s="9"/>
      <c r="Z53" s="9"/>
    </row>
    <row r="54">
      <c r="A54" s="9"/>
      <c r="B54" s="9"/>
      <c r="C54" s="9"/>
      <c r="D54" s="9"/>
      <c r="E54" s="18"/>
      <c r="F54" s="9"/>
      <c r="G54" s="9"/>
      <c r="H54" s="9"/>
      <c r="I54" s="9"/>
      <c r="J54" s="9"/>
      <c r="K54" s="9"/>
      <c r="L54" s="9"/>
      <c r="M54" s="9"/>
      <c r="N54" s="9"/>
      <c r="O54" s="9"/>
      <c r="P54" s="9"/>
      <c r="Q54" s="9"/>
      <c r="R54" s="9"/>
      <c r="S54" s="9"/>
      <c r="T54" s="9"/>
      <c r="U54" s="9"/>
      <c r="V54" s="9"/>
      <c r="W54" s="9"/>
      <c r="X54" s="9"/>
      <c r="Y54" s="9"/>
      <c r="Z54" s="9"/>
    </row>
    <row r="55">
      <c r="A55" s="9"/>
      <c r="B55" s="9"/>
      <c r="C55" s="9"/>
      <c r="D55" s="9"/>
      <c r="E55" s="18"/>
      <c r="F55" s="9"/>
      <c r="G55" s="9"/>
      <c r="H55" s="9"/>
      <c r="I55" s="9"/>
      <c r="J55" s="9"/>
      <c r="K55" s="9"/>
      <c r="L55" s="9"/>
      <c r="M55" s="9"/>
      <c r="N55" s="9"/>
      <c r="O55" s="9"/>
      <c r="P55" s="9"/>
      <c r="Q55" s="9"/>
      <c r="R55" s="9"/>
      <c r="S55" s="9"/>
      <c r="T55" s="9"/>
      <c r="U55" s="9"/>
      <c r="V55" s="9"/>
      <c r="W55" s="9"/>
      <c r="X55" s="9"/>
      <c r="Y55" s="9"/>
      <c r="Z55" s="9"/>
    </row>
    <row r="56">
      <c r="A56" s="9"/>
      <c r="B56" s="9"/>
      <c r="C56" s="9"/>
      <c r="D56" s="9"/>
      <c r="E56" s="18"/>
      <c r="F56" s="9"/>
      <c r="G56" s="9"/>
      <c r="H56" s="9"/>
      <c r="I56" s="9"/>
      <c r="J56" s="9"/>
      <c r="K56" s="9"/>
      <c r="L56" s="9"/>
      <c r="M56" s="9"/>
      <c r="N56" s="9"/>
      <c r="O56" s="9"/>
      <c r="P56" s="9"/>
      <c r="Q56" s="9"/>
      <c r="R56" s="9"/>
      <c r="S56" s="9"/>
      <c r="T56" s="9"/>
      <c r="U56" s="9"/>
      <c r="V56" s="9"/>
      <c r="W56" s="9"/>
      <c r="X56" s="9"/>
      <c r="Y56" s="9"/>
      <c r="Z56" s="9"/>
    </row>
    <row r="57">
      <c r="A57" s="9"/>
      <c r="B57" s="9"/>
      <c r="C57" s="9"/>
      <c r="D57" s="9"/>
      <c r="E57" s="18"/>
      <c r="F57" s="9"/>
      <c r="G57" s="9"/>
      <c r="H57" s="9"/>
      <c r="I57" s="9"/>
      <c r="J57" s="9"/>
      <c r="K57" s="9"/>
      <c r="L57" s="9"/>
      <c r="M57" s="9"/>
      <c r="N57" s="9"/>
      <c r="O57" s="9"/>
      <c r="P57" s="9"/>
      <c r="Q57" s="9"/>
      <c r="R57" s="9"/>
      <c r="S57" s="9"/>
      <c r="T57" s="9"/>
      <c r="U57" s="9"/>
      <c r="V57" s="9"/>
      <c r="W57" s="9"/>
      <c r="X57" s="9"/>
      <c r="Y57" s="9"/>
      <c r="Z57" s="9"/>
    </row>
    <row r="58">
      <c r="A58" s="9"/>
      <c r="B58" s="9"/>
      <c r="C58" s="9"/>
      <c r="D58" s="9"/>
      <c r="E58" s="18"/>
      <c r="F58" s="9"/>
      <c r="G58" s="9"/>
      <c r="H58" s="9"/>
      <c r="I58" s="9"/>
      <c r="J58" s="9"/>
      <c r="K58" s="9"/>
      <c r="L58" s="9"/>
      <c r="M58" s="9"/>
      <c r="N58" s="9"/>
      <c r="O58" s="9"/>
      <c r="P58" s="9"/>
      <c r="Q58" s="9"/>
      <c r="R58" s="9"/>
      <c r="S58" s="9"/>
      <c r="T58" s="9"/>
      <c r="U58" s="9"/>
      <c r="V58" s="9"/>
      <c r="W58" s="9"/>
      <c r="X58" s="9"/>
      <c r="Y58" s="9"/>
      <c r="Z58" s="9"/>
    </row>
    <row r="59">
      <c r="A59" s="9"/>
      <c r="B59" s="9"/>
      <c r="C59" s="9"/>
      <c r="D59" s="9"/>
      <c r="E59" s="18"/>
      <c r="F59" s="9"/>
      <c r="G59" s="9"/>
      <c r="H59" s="9"/>
      <c r="I59" s="9"/>
      <c r="J59" s="9"/>
      <c r="K59" s="9"/>
      <c r="L59" s="9"/>
      <c r="M59" s="9"/>
      <c r="N59" s="9"/>
      <c r="O59" s="9"/>
      <c r="P59" s="9"/>
      <c r="Q59" s="9"/>
      <c r="R59" s="9"/>
      <c r="S59" s="9"/>
      <c r="T59" s="9"/>
      <c r="U59" s="9"/>
      <c r="V59" s="9"/>
      <c r="W59" s="9"/>
      <c r="X59" s="9"/>
      <c r="Y59" s="9"/>
      <c r="Z59" s="9"/>
    </row>
    <row r="60">
      <c r="A60" s="9"/>
      <c r="B60" s="9"/>
      <c r="C60" s="9"/>
      <c r="D60" s="9"/>
      <c r="E60" s="18"/>
      <c r="F60" s="9"/>
      <c r="G60" s="9"/>
      <c r="H60" s="9"/>
      <c r="I60" s="9"/>
      <c r="J60" s="9"/>
      <c r="K60" s="9"/>
      <c r="L60" s="9"/>
      <c r="M60" s="9"/>
      <c r="N60" s="9"/>
      <c r="O60" s="9"/>
      <c r="P60" s="9"/>
      <c r="Q60" s="9"/>
      <c r="R60" s="9"/>
      <c r="S60" s="9"/>
      <c r="T60" s="9"/>
      <c r="U60" s="9"/>
      <c r="V60" s="9"/>
      <c r="W60" s="9"/>
      <c r="X60" s="9"/>
      <c r="Y60" s="9"/>
      <c r="Z60" s="9"/>
    </row>
    <row r="61">
      <c r="A61" s="9"/>
      <c r="B61" s="9"/>
      <c r="C61" s="9"/>
      <c r="D61" s="9"/>
      <c r="E61" s="18"/>
      <c r="F61" s="9"/>
      <c r="G61" s="9"/>
      <c r="H61" s="9"/>
      <c r="I61" s="9"/>
      <c r="J61" s="9"/>
      <c r="K61" s="9"/>
      <c r="L61" s="9"/>
      <c r="M61" s="9"/>
      <c r="N61" s="9"/>
      <c r="O61" s="9"/>
      <c r="P61" s="9"/>
      <c r="Q61" s="9"/>
      <c r="R61" s="9"/>
      <c r="S61" s="9"/>
      <c r="T61" s="9"/>
      <c r="U61" s="9"/>
      <c r="V61" s="9"/>
      <c r="W61" s="9"/>
      <c r="X61" s="9"/>
      <c r="Y61" s="9"/>
      <c r="Z61" s="9"/>
    </row>
    <row r="62">
      <c r="A62" s="9"/>
      <c r="B62" s="9"/>
      <c r="C62" s="9"/>
      <c r="D62" s="9"/>
      <c r="E62" s="18"/>
      <c r="F62" s="9"/>
      <c r="G62" s="9"/>
      <c r="H62" s="9"/>
      <c r="I62" s="9"/>
      <c r="J62" s="9"/>
      <c r="K62" s="9"/>
      <c r="L62" s="9"/>
      <c r="M62" s="9"/>
      <c r="N62" s="9"/>
      <c r="O62" s="9"/>
      <c r="P62" s="9"/>
      <c r="Q62" s="9"/>
      <c r="R62" s="9"/>
      <c r="S62" s="9"/>
      <c r="T62" s="9"/>
      <c r="U62" s="9"/>
      <c r="V62" s="9"/>
      <c r="W62" s="9"/>
      <c r="X62" s="9"/>
      <c r="Y62" s="9"/>
      <c r="Z62" s="9"/>
    </row>
    <row r="63">
      <c r="A63" s="9"/>
      <c r="B63" s="9"/>
      <c r="C63" s="9"/>
      <c r="D63" s="9"/>
      <c r="E63" s="18"/>
      <c r="F63" s="9"/>
      <c r="G63" s="9"/>
      <c r="H63" s="9"/>
      <c r="I63" s="9"/>
      <c r="J63" s="9"/>
      <c r="K63" s="9"/>
      <c r="L63" s="9"/>
      <c r="M63" s="9"/>
      <c r="N63" s="9"/>
      <c r="O63" s="9"/>
      <c r="P63" s="9"/>
      <c r="Q63" s="9"/>
      <c r="R63" s="9"/>
      <c r="S63" s="9"/>
      <c r="T63" s="9"/>
      <c r="U63" s="9"/>
      <c r="V63" s="9"/>
      <c r="W63" s="9"/>
      <c r="X63" s="9"/>
      <c r="Y63" s="9"/>
      <c r="Z63" s="9"/>
    </row>
    <row r="64">
      <c r="A64" s="9"/>
      <c r="B64" s="9"/>
      <c r="C64" s="9"/>
      <c r="D64" s="9"/>
      <c r="E64" s="18"/>
      <c r="F64" s="9"/>
      <c r="G64" s="9"/>
      <c r="H64" s="9"/>
      <c r="I64" s="9"/>
      <c r="J64" s="9"/>
      <c r="K64" s="9"/>
      <c r="L64" s="9"/>
      <c r="M64" s="9"/>
      <c r="N64" s="9"/>
      <c r="O64" s="9"/>
      <c r="P64" s="9"/>
      <c r="Q64" s="9"/>
      <c r="R64" s="9"/>
      <c r="S64" s="9"/>
      <c r="T64" s="9"/>
      <c r="U64" s="9"/>
      <c r="V64" s="9"/>
      <c r="W64" s="9"/>
      <c r="X64" s="9"/>
      <c r="Y64" s="9"/>
      <c r="Z64" s="9"/>
    </row>
    <row r="65">
      <c r="A65" s="9"/>
      <c r="B65" s="9"/>
      <c r="C65" s="9"/>
      <c r="D65" s="9"/>
      <c r="E65" s="18"/>
      <c r="F65" s="9"/>
      <c r="G65" s="9"/>
      <c r="H65" s="9"/>
      <c r="I65" s="9"/>
      <c r="J65" s="9"/>
      <c r="K65" s="9"/>
      <c r="L65" s="9"/>
      <c r="M65" s="9"/>
      <c r="N65" s="9"/>
      <c r="O65" s="9"/>
      <c r="P65" s="9"/>
      <c r="Q65" s="9"/>
      <c r="R65" s="9"/>
      <c r="S65" s="9"/>
      <c r="T65" s="9"/>
      <c r="U65" s="9"/>
      <c r="V65" s="9"/>
      <c r="W65" s="9"/>
      <c r="X65" s="9"/>
      <c r="Y65" s="9"/>
      <c r="Z65" s="9"/>
    </row>
    <row r="66">
      <c r="A66" s="9"/>
      <c r="B66" s="9"/>
      <c r="C66" s="9"/>
      <c r="D66" s="9"/>
      <c r="E66" s="18"/>
      <c r="F66" s="9"/>
      <c r="G66" s="9"/>
      <c r="H66" s="9"/>
      <c r="I66" s="9"/>
      <c r="J66" s="9"/>
      <c r="K66" s="9"/>
      <c r="L66" s="9"/>
      <c r="M66" s="9"/>
      <c r="N66" s="9"/>
      <c r="O66" s="9"/>
      <c r="P66" s="9"/>
      <c r="Q66" s="9"/>
      <c r="R66" s="9"/>
      <c r="S66" s="9"/>
      <c r="T66" s="9"/>
      <c r="U66" s="9"/>
      <c r="V66" s="9"/>
      <c r="W66" s="9"/>
      <c r="X66" s="9"/>
      <c r="Y66" s="9"/>
      <c r="Z66" s="9"/>
    </row>
    <row r="67">
      <c r="A67" s="9"/>
      <c r="B67" s="9"/>
      <c r="C67" s="9"/>
      <c r="D67" s="9"/>
      <c r="E67" s="18"/>
      <c r="F67" s="9"/>
      <c r="G67" s="9"/>
      <c r="H67" s="9"/>
      <c r="I67" s="9"/>
      <c r="J67" s="9"/>
      <c r="K67" s="9"/>
      <c r="L67" s="9"/>
      <c r="M67" s="9"/>
      <c r="N67" s="9"/>
      <c r="O67" s="9"/>
      <c r="P67" s="9"/>
      <c r="Q67" s="9"/>
      <c r="R67" s="9"/>
      <c r="S67" s="9"/>
      <c r="T67" s="9"/>
      <c r="U67" s="9"/>
      <c r="V67" s="9"/>
      <c r="W67" s="9"/>
      <c r="X67" s="9"/>
      <c r="Y67" s="9"/>
      <c r="Z67" s="9"/>
    </row>
    <row r="68">
      <c r="A68" s="9"/>
      <c r="B68" s="9"/>
      <c r="C68" s="9"/>
      <c r="D68" s="9"/>
      <c r="E68" s="18"/>
      <c r="F68" s="9"/>
      <c r="G68" s="9"/>
      <c r="H68" s="9"/>
      <c r="I68" s="9"/>
      <c r="J68" s="9"/>
      <c r="K68" s="9"/>
      <c r="L68" s="9"/>
      <c r="M68" s="9"/>
      <c r="N68" s="9"/>
      <c r="O68" s="9"/>
      <c r="P68" s="9"/>
      <c r="Q68" s="9"/>
      <c r="R68" s="9"/>
      <c r="S68" s="9"/>
      <c r="T68" s="9"/>
      <c r="U68" s="9"/>
      <c r="V68" s="9"/>
      <c r="W68" s="9"/>
      <c r="X68" s="9"/>
      <c r="Y68" s="9"/>
      <c r="Z68" s="9"/>
    </row>
    <row r="69">
      <c r="A69" s="9"/>
      <c r="B69" s="9"/>
      <c r="C69" s="9"/>
      <c r="D69" s="9"/>
      <c r="E69" s="18"/>
      <c r="F69" s="9"/>
      <c r="G69" s="9"/>
      <c r="H69" s="9"/>
      <c r="I69" s="9"/>
      <c r="J69" s="9"/>
      <c r="K69" s="9"/>
      <c r="L69" s="9"/>
      <c r="M69" s="9"/>
      <c r="N69" s="9"/>
      <c r="O69" s="9"/>
      <c r="P69" s="9"/>
      <c r="Q69" s="9"/>
      <c r="R69" s="9"/>
      <c r="S69" s="9"/>
      <c r="T69" s="9"/>
      <c r="U69" s="9"/>
      <c r="V69" s="9"/>
      <c r="W69" s="9"/>
      <c r="X69" s="9"/>
      <c r="Y69" s="9"/>
      <c r="Z69" s="9"/>
    </row>
    <row r="70">
      <c r="A70" s="9"/>
      <c r="B70" s="9"/>
      <c r="C70" s="9"/>
      <c r="D70" s="9"/>
      <c r="E70" s="18"/>
      <c r="F70" s="9"/>
      <c r="G70" s="9"/>
      <c r="H70" s="9"/>
      <c r="I70" s="9"/>
      <c r="J70" s="9"/>
      <c r="K70" s="9"/>
      <c r="L70" s="9"/>
      <c r="M70" s="9"/>
      <c r="N70" s="9"/>
      <c r="O70" s="9"/>
      <c r="P70" s="9"/>
      <c r="Q70" s="9"/>
      <c r="R70" s="9"/>
      <c r="S70" s="9"/>
      <c r="T70" s="9"/>
      <c r="U70" s="9"/>
      <c r="V70" s="9"/>
      <c r="W70" s="9"/>
      <c r="X70" s="9"/>
      <c r="Y70" s="9"/>
      <c r="Z70" s="9"/>
    </row>
    <row r="71">
      <c r="A71" s="9"/>
      <c r="B71" s="9"/>
      <c r="C71" s="9"/>
      <c r="D71" s="9"/>
      <c r="E71" s="18"/>
      <c r="F71" s="9"/>
      <c r="G71" s="9"/>
      <c r="H71" s="9"/>
      <c r="I71" s="9"/>
      <c r="J71" s="9"/>
      <c r="K71" s="9"/>
      <c r="L71" s="9"/>
      <c r="M71" s="9"/>
      <c r="N71" s="9"/>
      <c r="O71" s="9"/>
      <c r="P71" s="9"/>
      <c r="Q71" s="9"/>
      <c r="R71" s="9"/>
      <c r="S71" s="9"/>
      <c r="T71" s="9"/>
      <c r="U71" s="9"/>
      <c r="V71" s="9"/>
      <c r="W71" s="9"/>
      <c r="X71" s="9"/>
      <c r="Y71" s="9"/>
      <c r="Z71" s="9"/>
    </row>
    <row r="72">
      <c r="A72" s="9"/>
      <c r="B72" s="9"/>
      <c r="C72" s="9"/>
      <c r="D72" s="9"/>
      <c r="E72" s="18"/>
      <c r="F72" s="9"/>
      <c r="G72" s="9"/>
      <c r="H72" s="9"/>
      <c r="I72" s="9"/>
      <c r="J72" s="9"/>
      <c r="K72" s="9"/>
      <c r="L72" s="9"/>
      <c r="M72" s="9"/>
      <c r="N72" s="9"/>
      <c r="O72" s="9"/>
      <c r="P72" s="9"/>
      <c r="Q72" s="9"/>
      <c r="R72" s="9"/>
      <c r="S72" s="9"/>
      <c r="T72" s="9"/>
      <c r="U72" s="9"/>
      <c r="V72" s="9"/>
      <c r="W72" s="9"/>
      <c r="X72" s="9"/>
      <c r="Y72" s="9"/>
      <c r="Z72" s="9"/>
    </row>
    <row r="73">
      <c r="A73" s="9"/>
      <c r="B73" s="9"/>
      <c r="C73" s="9"/>
      <c r="D73" s="9"/>
      <c r="E73" s="18"/>
      <c r="F73" s="9"/>
      <c r="G73" s="9"/>
      <c r="H73" s="9"/>
      <c r="I73" s="9"/>
      <c r="J73" s="9"/>
      <c r="K73" s="9"/>
      <c r="L73" s="9"/>
      <c r="M73" s="9"/>
      <c r="N73" s="9"/>
      <c r="O73" s="9"/>
      <c r="P73" s="9"/>
      <c r="Q73" s="9"/>
      <c r="R73" s="9"/>
      <c r="S73" s="9"/>
      <c r="T73" s="9"/>
      <c r="U73" s="9"/>
      <c r="V73" s="9"/>
      <c r="W73" s="9"/>
      <c r="X73" s="9"/>
      <c r="Y73" s="9"/>
      <c r="Z73" s="9"/>
    </row>
    <row r="74">
      <c r="A74" s="9"/>
      <c r="B74" s="9"/>
      <c r="C74" s="9"/>
      <c r="D74" s="9"/>
      <c r="E74" s="18"/>
      <c r="F74" s="9"/>
      <c r="G74" s="9"/>
      <c r="H74" s="9"/>
      <c r="I74" s="9"/>
      <c r="J74" s="9"/>
      <c r="K74" s="9"/>
      <c r="L74" s="9"/>
      <c r="M74" s="9"/>
      <c r="N74" s="9"/>
      <c r="O74" s="9"/>
      <c r="P74" s="9"/>
      <c r="Q74" s="9"/>
      <c r="R74" s="9"/>
      <c r="S74" s="9"/>
      <c r="T74" s="9"/>
      <c r="U74" s="9"/>
      <c r="V74" s="9"/>
      <c r="W74" s="9"/>
      <c r="X74" s="9"/>
      <c r="Y74" s="9"/>
      <c r="Z74" s="9"/>
    </row>
    <row r="75">
      <c r="A75" s="9"/>
      <c r="B75" s="9"/>
      <c r="C75" s="9"/>
      <c r="D75" s="9"/>
      <c r="E75" s="18"/>
      <c r="F75" s="9"/>
      <c r="G75" s="9"/>
      <c r="H75" s="9"/>
      <c r="I75" s="9"/>
      <c r="J75" s="9"/>
      <c r="K75" s="9"/>
      <c r="L75" s="9"/>
      <c r="M75" s="9"/>
      <c r="N75" s="9"/>
      <c r="O75" s="9"/>
      <c r="P75" s="9"/>
      <c r="Q75" s="9"/>
      <c r="R75" s="9"/>
      <c r="S75" s="9"/>
      <c r="T75" s="9"/>
      <c r="U75" s="9"/>
      <c r="V75" s="9"/>
      <c r="W75" s="9"/>
      <c r="X75" s="9"/>
      <c r="Y75" s="9"/>
      <c r="Z75" s="9"/>
    </row>
    <row r="76">
      <c r="A76" s="9"/>
      <c r="B76" s="9"/>
      <c r="C76" s="9"/>
      <c r="D76" s="9"/>
      <c r="E76" s="18"/>
      <c r="F76" s="9"/>
      <c r="G76" s="9"/>
      <c r="H76" s="9"/>
      <c r="I76" s="9"/>
      <c r="J76" s="9"/>
      <c r="K76" s="9"/>
      <c r="L76" s="9"/>
      <c r="M76" s="9"/>
      <c r="N76" s="9"/>
      <c r="O76" s="9"/>
      <c r="P76" s="9"/>
      <c r="Q76" s="9"/>
      <c r="R76" s="9"/>
      <c r="S76" s="9"/>
      <c r="T76" s="9"/>
      <c r="U76" s="9"/>
      <c r="V76" s="9"/>
      <c r="W76" s="9"/>
      <c r="X76" s="9"/>
      <c r="Y76" s="9"/>
      <c r="Z76" s="9"/>
    </row>
    <row r="77">
      <c r="A77" s="9"/>
      <c r="B77" s="9"/>
      <c r="C77" s="9"/>
      <c r="D77" s="9"/>
      <c r="E77" s="18"/>
      <c r="F77" s="9"/>
      <c r="G77" s="9"/>
      <c r="H77" s="9"/>
      <c r="I77" s="9"/>
      <c r="J77" s="9"/>
      <c r="K77" s="9"/>
      <c r="L77" s="9"/>
      <c r="M77" s="9"/>
      <c r="N77" s="9"/>
      <c r="O77" s="9"/>
      <c r="P77" s="9"/>
      <c r="Q77" s="9"/>
      <c r="R77" s="9"/>
      <c r="S77" s="9"/>
      <c r="T77" s="9"/>
      <c r="U77" s="9"/>
      <c r="V77" s="9"/>
      <c r="W77" s="9"/>
      <c r="X77" s="9"/>
      <c r="Y77" s="9"/>
      <c r="Z77" s="9"/>
    </row>
    <row r="78">
      <c r="A78" s="9"/>
      <c r="B78" s="9"/>
      <c r="C78" s="9"/>
      <c r="D78" s="9"/>
      <c r="E78" s="18"/>
      <c r="F78" s="9"/>
      <c r="G78" s="9"/>
      <c r="H78" s="9"/>
      <c r="I78" s="9"/>
      <c r="J78" s="9"/>
      <c r="K78" s="9"/>
      <c r="L78" s="9"/>
      <c r="M78" s="9"/>
      <c r="N78" s="9"/>
      <c r="O78" s="9"/>
      <c r="P78" s="9"/>
      <c r="Q78" s="9"/>
      <c r="R78" s="9"/>
      <c r="S78" s="9"/>
      <c r="T78" s="9"/>
      <c r="U78" s="9"/>
      <c r="V78" s="9"/>
      <c r="W78" s="9"/>
      <c r="X78" s="9"/>
      <c r="Y78" s="9"/>
      <c r="Z78" s="9"/>
    </row>
    <row r="79">
      <c r="A79" s="9"/>
      <c r="B79" s="9"/>
      <c r="C79" s="9"/>
      <c r="D79" s="9"/>
      <c r="E79" s="18"/>
      <c r="F79" s="9"/>
      <c r="G79" s="9"/>
      <c r="H79" s="9"/>
      <c r="I79" s="9"/>
      <c r="J79" s="9"/>
      <c r="K79" s="9"/>
      <c r="L79" s="9"/>
      <c r="M79" s="9"/>
      <c r="N79" s="9"/>
      <c r="O79" s="9"/>
      <c r="P79" s="9"/>
      <c r="Q79" s="9"/>
      <c r="R79" s="9"/>
      <c r="S79" s="9"/>
      <c r="T79" s="9"/>
      <c r="U79" s="9"/>
      <c r="V79" s="9"/>
      <c r="W79" s="9"/>
      <c r="X79" s="9"/>
      <c r="Y79" s="9"/>
      <c r="Z79" s="9"/>
    </row>
    <row r="80">
      <c r="A80" s="9"/>
      <c r="B80" s="9"/>
      <c r="C80" s="9"/>
      <c r="D80" s="9"/>
      <c r="E80" s="18"/>
      <c r="F80" s="9"/>
      <c r="G80" s="9"/>
      <c r="H80" s="9"/>
      <c r="I80" s="9"/>
      <c r="J80" s="9"/>
      <c r="K80" s="9"/>
      <c r="L80" s="9"/>
      <c r="M80" s="9"/>
      <c r="N80" s="9"/>
      <c r="O80" s="9"/>
      <c r="P80" s="9"/>
      <c r="Q80" s="9"/>
      <c r="R80" s="9"/>
      <c r="S80" s="9"/>
      <c r="T80" s="9"/>
      <c r="U80" s="9"/>
      <c r="V80" s="9"/>
      <c r="W80" s="9"/>
      <c r="X80" s="9"/>
      <c r="Y80" s="9"/>
      <c r="Z80" s="9"/>
    </row>
    <row r="81">
      <c r="A81" s="9"/>
      <c r="B81" s="9"/>
      <c r="C81" s="9"/>
      <c r="D81" s="9"/>
      <c r="E81" s="18"/>
      <c r="F81" s="9"/>
      <c r="G81" s="9"/>
      <c r="H81" s="9"/>
      <c r="I81" s="9"/>
      <c r="J81" s="9"/>
      <c r="K81" s="9"/>
      <c r="L81" s="9"/>
      <c r="M81" s="9"/>
      <c r="N81" s="9"/>
      <c r="O81" s="9"/>
      <c r="P81" s="9"/>
      <c r="Q81" s="9"/>
      <c r="R81" s="9"/>
      <c r="S81" s="9"/>
      <c r="T81" s="9"/>
      <c r="U81" s="9"/>
      <c r="V81" s="9"/>
      <c r="W81" s="9"/>
      <c r="X81" s="9"/>
      <c r="Y81" s="9"/>
      <c r="Z81" s="9"/>
    </row>
    <row r="82">
      <c r="A82" s="9"/>
      <c r="B82" s="9"/>
      <c r="C82" s="9"/>
      <c r="D82" s="9"/>
      <c r="E82" s="18"/>
      <c r="F82" s="9"/>
      <c r="G82" s="9"/>
      <c r="H82" s="9"/>
      <c r="I82" s="9"/>
      <c r="J82" s="9"/>
      <c r="K82" s="9"/>
      <c r="L82" s="9"/>
      <c r="M82" s="9"/>
      <c r="N82" s="9"/>
      <c r="O82" s="9"/>
      <c r="P82" s="9"/>
      <c r="Q82" s="9"/>
      <c r="R82" s="9"/>
      <c r="S82" s="9"/>
      <c r="T82" s="9"/>
      <c r="U82" s="9"/>
      <c r="V82" s="9"/>
      <c r="W82" s="9"/>
      <c r="X82" s="9"/>
      <c r="Y82" s="9"/>
      <c r="Z82" s="9"/>
    </row>
    <row r="83">
      <c r="A83" s="9"/>
      <c r="B83" s="9"/>
      <c r="C83" s="9"/>
      <c r="D83" s="9"/>
      <c r="E83" s="18"/>
      <c r="F83" s="9"/>
      <c r="G83" s="9"/>
      <c r="H83" s="9"/>
      <c r="I83" s="9"/>
      <c r="J83" s="9"/>
      <c r="K83" s="9"/>
      <c r="L83" s="9"/>
      <c r="M83" s="9"/>
      <c r="N83" s="9"/>
      <c r="O83" s="9"/>
      <c r="P83" s="9"/>
      <c r="Q83" s="9"/>
      <c r="R83" s="9"/>
      <c r="S83" s="9"/>
      <c r="T83" s="9"/>
      <c r="U83" s="9"/>
      <c r="V83" s="9"/>
      <c r="W83" s="9"/>
      <c r="X83" s="9"/>
      <c r="Y83" s="9"/>
      <c r="Z83" s="9"/>
    </row>
    <row r="84">
      <c r="A84" s="9"/>
      <c r="B84" s="9"/>
      <c r="C84" s="9"/>
      <c r="D84" s="9"/>
      <c r="E84" s="18"/>
      <c r="F84" s="9"/>
      <c r="G84" s="9"/>
      <c r="H84" s="9"/>
      <c r="I84" s="9"/>
      <c r="J84" s="9"/>
      <c r="K84" s="9"/>
      <c r="L84" s="9"/>
      <c r="M84" s="9"/>
      <c r="N84" s="9"/>
      <c r="O84" s="9"/>
      <c r="P84" s="9"/>
      <c r="Q84" s="9"/>
      <c r="R84" s="9"/>
      <c r="S84" s="9"/>
      <c r="T84" s="9"/>
      <c r="U84" s="9"/>
      <c r="V84" s="9"/>
      <c r="W84" s="9"/>
      <c r="X84" s="9"/>
      <c r="Y84" s="9"/>
      <c r="Z84" s="9"/>
    </row>
    <row r="85">
      <c r="A85" s="9"/>
      <c r="B85" s="9"/>
      <c r="C85" s="9"/>
      <c r="D85" s="9"/>
      <c r="E85" s="18"/>
      <c r="F85" s="9"/>
      <c r="G85" s="9"/>
      <c r="H85" s="9"/>
      <c r="I85" s="9"/>
      <c r="J85" s="9"/>
      <c r="K85" s="9"/>
      <c r="L85" s="9"/>
      <c r="M85" s="9"/>
      <c r="N85" s="9"/>
      <c r="O85" s="9"/>
      <c r="P85" s="9"/>
      <c r="Q85" s="9"/>
      <c r="R85" s="9"/>
      <c r="S85" s="9"/>
      <c r="T85" s="9"/>
      <c r="U85" s="9"/>
      <c r="V85" s="9"/>
      <c r="W85" s="9"/>
      <c r="X85" s="9"/>
      <c r="Y85" s="9"/>
      <c r="Z85" s="9"/>
    </row>
    <row r="86">
      <c r="A86" s="9"/>
      <c r="B86" s="9"/>
      <c r="C86" s="9"/>
      <c r="D86" s="9"/>
      <c r="E86" s="18"/>
      <c r="F86" s="9"/>
      <c r="G86" s="9"/>
      <c r="H86" s="9"/>
      <c r="I86" s="9"/>
      <c r="J86" s="9"/>
      <c r="K86" s="9"/>
      <c r="L86" s="9"/>
      <c r="M86" s="9"/>
      <c r="N86" s="9"/>
      <c r="O86" s="9"/>
      <c r="P86" s="9"/>
      <c r="Q86" s="9"/>
      <c r="R86" s="9"/>
      <c r="S86" s="9"/>
      <c r="T86" s="9"/>
      <c r="U86" s="9"/>
      <c r="V86" s="9"/>
      <c r="W86" s="9"/>
      <c r="X86" s="9"/>
      <c r="Y86" s="9"/>
      <c r="Z86" s="9"/>
    </row>
    <row r="87">
      <c r="A87" s="9"/>
      <c r="B87" s="9"/>
      <c r="C87" s="9"/>
      <c r="D87" s="9"/>
      <c r="E87" s="18"/>
      <c r="F87" s="9"/>
      <c r="G87" s="9"/>
      <c r="H87" s="9"/>
      <c r="I87" s="9"/>
      <c r="J87" s="9"/>
      <c r="K87" s="9"/>
      <c r="L87" s="9"/>
      <c r="M87" s="9"/>
      <c r="N87" s="9"/>
      <c r="O87" s="9"/>
      <c r="P87" s="9"/>
      <c r="Q87" s="9"/>
      <c r="R87" s="9"/>
      <c r="S87" s="9"/>
      <c r="T87" s="9"/>
      <c r="U87" s="9"/>
      <c r="V87" s="9"/>
      <c r="W87" s="9"/>
      <c r="X87" s="9"/>
      <c r="Y87" s="9"/>
      <c r="Z87" s="9"/>
    </row>
    <row r="88">
      <c r="A88" s="9"/>
      <c r="B88" s="9"/>
      <c r="C88" s="9"/>
      <c r="D88" s="9"/>
      <c r="E88" s="18"/>
      <c r="F88" s="9"/>
      <c r="G88" s="9"/>
      <c r="H88" s="9"/>
      <c r="I88" s="9"/>
      <c r="J88" s="9"/>
      <c r="K88" s="9"/>
      <c r="L88" s="9"/>
      <c r="M88" s="9"/>
      <c r="N88" s="9"/>
      <c r="O88" s="9"/>
      <c r="P88" s="9"/>
      <c r="Q88" s="9"/>
      <c r="R88" s="9"/>
      <c r="S88" s="9"/>
      <c r="T88" s="9"/>
      <c r="U88" s="9"/>
      <c r="V88" s="9"/>
      <c r="W88" s="9"/>
      <c r="X88" s="9"/>
      <c r="Y88" s="9"/>
      <c r="Z88" s="9"/>
    </row>
    <row r="89">
      <c r="A89" s="9"/>
      <c r="B89" s="9"/>
      <c r="C89" s="9"/>
      <c r="D89" s="9"/>
      <c r="E89" s="18"/>
      <c r="F89" s="9"/>
      <c r="G89" s="9"/>
      <c r="H89" s="9"/>
      <c r="I89" s="9"/>
      <c r="J89" s="9"/>
      <c r="K89" s="9"/>
      <c r="L89" s="9"/>
      <c r="M89" s="9"/>
      <c r="N89" s="9"/>
      <c r="O89" s="9"/>
      <c r="P89" s="9"/>
      <c r="Q89" s="9"/>
      <c r="R89" s="9"/>
      <c r="S89" s="9"/>
      <c r="T89" s="9"/>
      <c r="U89" s="9"/>
      <c r="V89" s="9"/>
      <c r="W89" s="9"/>
      <c r="X89" s="9"/>
      <c r="Y89" s="9"/>
      <c r="Z89" s="9"/>
    </row>
    <row r="90">
      <c r="A90" s="9"/>
      <c r="B90" s="9"/>
      <c r="C90" s="9"/>
      <c r="D90" s="9"/>
      <c r="E90" s="18"/>
      <c r="F90" s="9"/>
      <c r="G90" s="9"/>
      <c r="H90" s="9"/>
      <c r="I90" s="9"/>
      <c r="J90" s="9"/>
      <c r="K90" s="9"/>
      <c r="L90" s="9"/>
      <c r="M90" s="9"/>
      <c r="N90" s="9"/>
      <c r="O90" s="9"/>
      <c r="P90" s="9"/>
      <c r="Q90" s="9"/>
      <c r="R90" s="9"/>
      <c r="S90" s="9"/>
      <c r="T90" s="9"/>
      <c r="U90" s="9"/>
      <c r="V90" s="9"/>
      <c r="W90" s="9"/>
      <c r="X90" s="9"/>
      <c r="Y90" s="9"/>
      <c r="Z90" s="9"/>
    </row>
    <row r="91">
      <c r="A91" s="9"/>
      <c r="B91" s="9"/>
      <c r="C91" s="9"/>
      <c r="D91" s="9"/>
      <c r="E91" s="18"/>
      <c r="F91" s="9"/>
      <c r="G91" s="9"/>
      <c r="H91" s="9"/>
      <c r="I91" s="9"/>
      <c r="J91" s="9"/>
      <c r="K91" s="9"/>
      <c r="L91" s="9"/>
      <c r="M91" s="9"/>
      <c r="N91" s="9"/>
      <c r="O91" s="9"/>
      <c r="P91" s="9"/>
      <c r="Q91" s="9"/>
      <c r="R91" s="9"/>
      <c r="S91" s="9"/>
      <c r="T91" s="9"/>
      <c r="U91" s="9"/>
      <c r="V91" s="9"/>
      <c r="W91" s="9"/>
      <c r="X91" s="9"/>
      <c r="Y91" s="9"/>
      <c r="Z91" s="9"/>
    </row>
    <row r="92">
      <c r="A92" s="9"/>
      <c r="B92" s="9"/>
      <c r="C92" s="9"/>
      <c r="D92" s="9"/>
      <c r="E92" s="18"/>
      <c r="F92" s="9"/>
      <c r="G92" s="9"/>
      <c r="H92" s="9"/>
      <c r="I92" s="9"/>
      <c r="J92" s="9"/>
      <c r="K92" s="9"/>
      <c r="L92" s="9"/>
      <c r="M92" s="9"/>
      <c r="N92" s="9"/>
      <c r="O92" s="9"/>
      <c r="P92" s="9"/>
      <c r="Q92" s="9"/>
      <c r="R92" s="9"/>
      <c r="S92" s="9"/>
      <c r="T92" s="9"/>
      <c r="U92" s="9"/>
      <c r="V92" s="9"/>
      <c r="W92" s="9"/>
      <c r="X92" s="9"/>
      <c r="Y92" s="9"/>
      <c r="Z92" s="9"/>
    </row>
    <row r="93">
      <c r="A93" s="9"/>
      <c r="B93" s="9"/>
      <c r="C93" s="9"/>
      <c r="D93" s="9"/>
      <c r="E93" s="18"/>
      <c r="F93" s="9"/>
      <c r="G93" s="9"/>
      <c r="H93" s="9"/>
      <c r="I93" s="9"/>
      <c r="J93" s="9"/>
      <c r="K93" s="9"/>
      <c r="L93" s="9"/>
      <c r="M93" s="9"/>
      <c r="N93" s="9"/>
      <c r="O93" s="9"/>
      <c r="P93" s="9"/>
      <c r="Q93" s="9"/>
      <c r="R93" s="9"/>
      <c r="S93" s="9"/>
      <c r="T93" s="9"/>
      <c r="U93" s="9"/>
      <c r="V93" s="9"/>
      <c r="W93" s="9"/>
      <c r="X93" s="9"/>
      <c r="Y93" s="9"/>
      <c r="Z93" s="9"/>
    </row>
    <row r="94">
      <c r="A94" s="9"/>
      <c r="B94" s="9"/>
      <c r="C94" s="9"/>
      <c r="D94" s="9"/>
      <c r="E94" s="18"/>
      <c r="F94" s="9"/>
      <c r="G94" s="9"/>
      <c r="H94" s="9"/>
      <c r="I94" s="9"/>
      <c r="J94" s="9"/>
      <c r="K94" s="9"/>
      <c r="L94" s="9"/>
      <c r="M94" s="9"/>
      <c r="N94" s="9"/>
      <c r="O94" s="9"/>
      <c r="P94" s="9"/>
      <c r="Q94" s="9"/>
      <c r="R94" s="9"/>
      <c r="S94" s="9"/>
      <c r="T94" s="9"/>
      <c r="U94" s="9"/>
      <c r="V94" s="9"/>
      <c r="W94" s="9"/>
      <c r="X94" s="9"/>
      <c r="Y94" s="9"/>
      <c r="Z94" s="9"/>
    </row>
    <row r="95">
      <c r="A95" s="9"/>
      <c r="B95" s="9"/>
      <c r="C95" s="9"/>
      <c r="D95" s="9"/>
      <c r="E95" s="18"/>
      <c r="F95" s="9"/>
      <c r="G95" s="9"/>
      <c r="H95" s="9"/>
      <c r="I95" s="9"/>
      <c r="J95" s="9"/>
      <c r="K95" s="9"/>
      <c r="L95" s="9"/>
      <c r="M95" s="9"/>
      <c r="N95" s="9"/>
      <c r="O95" s="9"/>
      <c r="P95" s="9"/>
      <c r="Q95" s="9"/>
      <c r="R95" s="9"/>
      <c r="S95" s="9"/>
      <c r="T95" s="9"/>
      <c r="U95" s="9"/>
      <c r="V95" s="9"/>
      <c r="W95" s="9"/>
      <c r="X95" s="9"/>
      <c r="Y95" s="9"/>
      <c r="Z95" s="9"/>
    </row>
    <row r="96">
      <c r="A96" s="9"/>
      <c r="B96" s="9"/>
      <c r="C96" s="9"/>
      <c r="D96" s="9"/>
      <c r="E96" s="18"/>
      <c r="F96" s="9"/>
      <c r="G96" s="9"/>
      <c r="H96" s="9"/>
      <c r="I96" s="9"/>
      <c r="J96" s="9"/>
      <c r="K96" s="9"/>
      <c r="L96" s="9"/>
      <c r="M96" s="9"/>
      <c r="N96" s="9"/>
      <c r="O96" s="9"/>
      <c r="P96" s="9"/>
      <c r="Q96" s="9"/>
      <c r="R96" s="9"/>
      <c r="S96" s="9"/>
      <c r="T96" s="9"/>
      <c r="U96" s="9"/>
      <c r="V96" s="9"/>
      <c r="W96" s="9"/>
      <c r="X96" s="9"/>
      <c r="Y96" s="9"/>
      <c r="Z96" s="9"/>
    </row>
    <row r="97">
      <c r="A97" s="9"/>
      <c r="B97" s="9"/>
      <c r="C97" s="9"/>
      <c r="D97" s="9"/>
      <c r="E97" s="18"/>
      <c r="F97" s="9"/>
      <c r="G97" s="9"/>
      <c r="H97" s="9"/>
      <c r="I97" s="9"/>
      <c r="J97" s="9"/>
      <c r="K97" s="9"/>
      <c r="L97" s="9"/>
      <c r="M97" s="9"/>
      <c r="N97" s="9"/>
      <c r="O97" s="9"/>
      <c r="P97" s="9"/>
      <c r="Q97" s="9"/>
      <c r="R97" s="9"/>
      <c r="S97" s="9"/>
      <c r="T97" s="9"/>
      <c r="U97" s="9"/>
      <c r="V97" s="9"/>
      <c r="W97" s="9"/>
      <c r="X97" s="9"/>
      <c r="Y97" s="9"/>
      <c r="Z97" s="9"/>
    </row>
    <row r="98">
      <c r="A98" s="9"/>
      <c r="B98" s="9"/>
      <c r="C98" s="9"/>
      <c r="D98" s="9"/>
      <c r="E98" s="18"/>
      <c r="F98" s="9"/>
      <c r="G98" s="9"/>
      <c r="H98" s="9"/>
      <c r="I98" s="9"/>
      <c r="J98" s="9"/>
      <c r="K98" s="9"/>
      <c r="L98" s="9"/>
      <c r="M98" s="9"/>
      <c r="N98" s="9"/>
      <c r="O98" s="9"/>
      <c r="P98" s="9"/>
      <c r="Q98" s="9"/>
      <c r="R98" s="9"/>
      <c r="S98" s="9"/>
      <c r="T98" s="9"/>
      <c r="U98" s="9"/>
      <c r="V98" s="9"/>
      <c r="W98" s="9"/>
      <c r="X98" s="9"/>
      <c r="Y98" s="9"/>
      <c r="Z98" s="9"/>
    </row>
    <row r="99">
      <c r="A99" s="9"/>
      <c r="B99" s="9"/>
      <c r="C99" s="9"/>
      <c r="D99" s="9"/>
      <c r="E99" s="18"/>
      <c r="F99" s="9"/>
      <c r="G99" s="9"/>
      <c r="H99" s="9"/>
      <c r="I99" s="9"/>
      <c r="J99" s="9"/>
      <c r="K99" s="9"/>
      <c r="L99" s="9"/>
      <c r="M99" s="9"/>
      <c r="N99" s="9"/>
      <c r="O99" s="9"/>
      <c r="P99" s="9"/>
      <c r="Q99" s="9"/>
      <c r="R99" s="9"/>
      <c r="S99" s="9"/>
      <c r="T99" s="9"/>
      <c r="U99" s="9"/>
      <c r="V99" s="9"/>
      <c r="W99" s="9"/>
      <c r="X99" s="9"/>
      <c r="Y99" s="9"/>
      <c r="Z99" s="9"/>
    </row>
    <row r="100">
      <c r="A100" s="9"/>
      <c r="B100" s="9"/>
      <c r="C100" s="9"/>
      <c r="D100" s="9"/>
      <c r="E100" s="18"/>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18"/>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18"/>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18"/>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18"/>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18"/>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18"/>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18"/>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18"/>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18"/>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18"/>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18"/>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18"/>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18"/>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18"/>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18"/>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18"/>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18"/>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18"/>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18"/>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18"/>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18"/>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18"/>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18"/>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18"/>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18"/>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18"/>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18"/>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18"/>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18"/>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18"/>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18"/>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18"/>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18"/>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18"/>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18"/>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18"/>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18"/>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18"/>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18"/>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18"/>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18"/>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18"/>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18"/>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18"/>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18"/>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18"/>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18"/>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18"/>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18"/>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18"/>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18"/>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18"/>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18"/>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18"/>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18"/>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18"/>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18"/>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18"/>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18"/>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18"/>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18"/>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18"/>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18"/>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18"/>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18"/>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18"/>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18"/>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18"/>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18"/>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18"/>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18"/>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18"/>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18"/>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18"/>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18"/>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18"/>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18"/>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18"/>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18"/>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18"/>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18"/>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18"/>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18"/>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18"/>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18"/>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18"/>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18"/>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18"/>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18"/>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18"/>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18"/>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18"/>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18"/>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18"/>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18"/>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18"/>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18"/>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18"/>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18"/>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18"/>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18"/>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18"/>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18"/>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18"/>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18"/>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18"/>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18"/>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18"/>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18"/>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18"/>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18"/>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18"/>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18"/>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18"/>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18"/>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18"/>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18"/>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18"/>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18"/>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18"/>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18"/>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18"/>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18"/>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18"/>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18"/>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18"/>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18"/>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18"/>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18"/>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18"/>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18"/>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18"/>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18"/>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18"/>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18"/>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18"/>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18"/>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18"/>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18"/>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18"/>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18"/>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18"/>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18"/>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18"/>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18"/>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18"/>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18"/>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18"/>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18"/>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18"/>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18"/>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18"/>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18"/>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18"/>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18"/>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18"/>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18"/>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18"/>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18"/>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18"/>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18"/>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18"/>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18"/>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18"/>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18"/>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18"/>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18"/>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18"/>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18"/>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18"/>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18"/>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18"/>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18"/>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18"/>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18"/>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18"/>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18"/>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18"/>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18"/>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18"/>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18"/>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18"/>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18"/>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18"/>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18"/>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18"/>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18"/>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18"/>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18"/>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18"/>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18"/>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18"/>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18"/>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18"/>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18"/>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18"/>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18"/>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18"/>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18"/>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18"/>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18"/>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18"/>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18"/>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18"/>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18"/>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18"/>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18"/>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18"/>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18"/>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18"/>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18"/>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18"/>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18"/>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18"/>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18"/>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18"/>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18"/>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18"/>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18"/>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18"/>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18"/>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18"/>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18"/>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18"/>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18"/>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18"/>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18"/>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18"/>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18"/>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18"/>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18"/>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18"/>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18"/>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18"/>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18"/>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18"/>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18"/>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18"/>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18"/>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18"/>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18"/>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18"/>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18"/>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18"/>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18"/>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18"/>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18"/>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18"/>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18"/>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18"/>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18"/>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18"/>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18"/>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18"/>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18"/>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18"/>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18"/>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18"/>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18"/>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18"/>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18"/>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18"/>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18"/>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18"/>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18"/>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18"/>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18"/>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18"/>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18"/>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18"/>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18"/>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18"/>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18"/>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18"/>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18"/>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18"/>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18"/>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18"/>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18"/>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18"/>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18"/>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18"/>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18"/>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18"/>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18"/>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18"/>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18"/>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18"/>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18"/>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18"/>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18"/>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18"/>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18"/>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18"/>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18"/>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18"/>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18"/>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18"/>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18"/>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18"/>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18"/>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18"/>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18"/>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18"/>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18"/>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18"/>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18"/>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18"/>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18"/>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18"/>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18"/>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18"/>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18"/>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18"/>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18"/>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18"/>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18"/>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18"/>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18"/>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18"/>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18"/>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18"/>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18"/>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18"/>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18"/>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18"/>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18"/>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18"/>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18"/>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18"/>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18"/>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18"/>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18"/>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18"/>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18"/>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18"/>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18"/>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18"/>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18"/>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18"/>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18"/>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18"/>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18"/>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18"/>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18"/>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18"/>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18"/>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18"/>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18"/>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18"/>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18"/>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18"/>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18"/>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18"/>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18"/>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18"/>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18"/>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18"/>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18"/>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18"/>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18"/>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18"/>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18"/>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18"/>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18"/>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18"/>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18"/>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18"/>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18"/>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18"/>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18"/>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18"/>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18"/>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18"/>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18"/>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18"/>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18"/>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18"/>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18"/>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18"/>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18"/>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18"/>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18"/>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18"/>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18"/>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18"/>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18"/>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18"/>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18"/>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18"/>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18"/>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18"/>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18"/>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18"/>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18"/>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18"/>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18"/>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18"/>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18"/>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18"/>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18"/>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18"/>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18"/>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18"/>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18"/>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18"/>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18"/>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18"/>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18"/>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18"/>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18"/>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18"/>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18"/>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18"/>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18"/>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18"/>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18"/>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18"/>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18"/>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18"/>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18"/>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18"/>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18"/>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18"/>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18"/>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18"/>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18"/>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18"/>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18"/>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18"/>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18"/>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18"/>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18"/>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18"/>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18"/>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18"/>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18"/>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18"/>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18"/>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18"/>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18"/>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18"/>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18"/>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18"/>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18"/>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18"/>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18"/>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18"/>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18"/>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18"/>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18"/>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18"/>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18"/>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18"/>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18"/>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18"/>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18"/>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18"/>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18"/>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18"/>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18"/>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18"/>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18"/>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18"/>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18"/>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18"/>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18"/>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18"/>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18"/>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18"/>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18"/>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18"/>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18"/>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18"/>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18"/>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18"/>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18"/>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18"/>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18"/>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18"/>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18"/>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18"/>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18"/>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18"/>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18"/>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18"/>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18"/>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18"/>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18"/>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18"/>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18"/>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18"/>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18"/>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18"/>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18"/>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18"/>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18"/>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18"/>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18"/>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18"/>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18"/>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18"/>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18"/>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18"/>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18"/>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18"/>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18"/>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18"/>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18"/>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18"/>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18"/>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18"/>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18"/>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18"/>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18"/>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18"/>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18"/>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18"/>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18"/>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18"/>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18"/>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18"/>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18"/>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18"/>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18"/>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18"/>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18"/>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18"/>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18"/>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18"/>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18"/>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18"/>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18"/>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18"/>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18"/>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18"/>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18"/>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18"/>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18"/>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18"/>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18"/>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18"/>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18"/>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18"/>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18"/>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18"/>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18"/>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18"/>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18"/>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18"/>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18"/>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18"/>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18"/>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18"/>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18"/>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18"/>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18"/>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18"/>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18"/>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18"/>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18"/>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18"/>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18"/>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18"/>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18"/>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18"/>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18"/>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18"/>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18"/>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18"/>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18"/>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18"/>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18"/>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18"/>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18"/>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18"/>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18"/>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18"/>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18"/>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18"/>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18"/>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18"/>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18"/>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18"/>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18"/>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18"/>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18"/>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18"/>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18"/>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18"/>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18"/>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18"/>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18"/>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18"/>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18"/>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18"/>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18"/>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18"/>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18"/>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18"/>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18"/>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18"/>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18"/>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18"/>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18"/>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18"/>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18"/>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18"/>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18"/>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18"/>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18"/>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18"/>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18"/>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18"/>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18"/>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18"/>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18"/>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18"/>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18"/>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18"/>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18"/>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18"/>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18"/>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18"/>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18"/>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18"/>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18"/>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18"/>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18"/>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18"/>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18"/>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18"/>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18"/>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18"/>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18"/>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18"/>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18"/>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18"/>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18"/>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18"/>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18"/>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18"/>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18"/>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18"/>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18"/>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18"/>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18"/>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18"/>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18"/>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18"/>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18"/>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18"/>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18"/>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18"/>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18"/>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18"/>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18"/>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18"/>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18"/>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18"/>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18"/>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18"/>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18"/>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18"/>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18"/>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18"/>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18"/>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18"/>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18"/>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18"/>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18"/>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18"/>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18"/>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18"/>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18"/>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18"/>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18"/>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18"/>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18"/>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18"/>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18"/>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18"/>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18"/>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18"/>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18"/>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18"/>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18"/>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18"/>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18"/>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18"/>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18"/>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18"/>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18"/>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18"/>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18"/>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18"/>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18"/>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18"/>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18"/>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18"/>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18"/>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18"/>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18"/>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18"/>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18"/>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18"/>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18"/>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18"/>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18"/>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18"/>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18"/>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18"/>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18"/>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18"/>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18"/>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18"/>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18"/>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18"/>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18"/>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18"/>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18"/>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18"/>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18"/>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18"/>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18"/>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18"/>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18"/>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18"/>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18"/>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18"/>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18"/>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18"/>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18"/>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18"/>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18"/>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18"/>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18"/>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18"/>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18"/>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18"/>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18"/>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18"/>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18"/>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18"/>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18"/>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18"/>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18"/>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18"/>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18"/>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18"/>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18"/>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18"/>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18"/>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18"/>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18"/>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18"/>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18"/>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18"/>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18"/>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18"/>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18"/>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18"/>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18"/>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18"/>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18"/>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18"/>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18"/>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18"/>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18"/>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18"/>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18"/>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18"/>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18"/>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18"/>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18"/>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18"/>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18"/>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18"/>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18"/>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18"/>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18"/>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18"/>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18"/>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18"/>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18"/>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18"/>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18"/>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18"/>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18"/>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18"/>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18"/>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18"/>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18"/>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18"/>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18"/>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18"/>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18"/>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18"/>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18"/>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18"/>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18"/>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18"/>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18"/>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18"/>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18"/>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18"/>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18"/>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18"/>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18"/>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18"/>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18"/>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18"/>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18"/>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18"/>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18"/>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18"/>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18"/>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18"/>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18"/>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18"/>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18"/>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18"/>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18"/>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18"/>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18"/>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18"/>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18"/>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18"/>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18"/>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18"/>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18"/>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18"/>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18"/>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18"/>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18"/>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18"/>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18"/>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18"/>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18"/>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18"/>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18"/>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18"/>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18"/>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18"/>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18"/>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18"/>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18"/>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18"/>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18"/>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18"/>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18"/>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18"/>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18"/>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18"/>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18"/>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18"/>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18"/>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18"/>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18"/>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18"/>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18"/>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18"/>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18"/>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18"/>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18"/>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18"/>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18"/>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18"/>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18"/>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18"/>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18"/>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18"/>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18"/>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18"/>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18"/>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18"/>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18"/>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18"/>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18"/>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18"/>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18"/>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18"/>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18"/>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18"/>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18"/>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18"/>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18"/>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18"/>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18"/>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18"/>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18"/>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18"/>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18"/>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18"/>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18"/>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18"/>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18"/>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18"/>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18"/>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18"/>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14</v>
      </c>
      <c r="D1" s="19" t="s">
        <v>15</v>
      </c>
    </row>
    <row r="2">
      <c r="A2" s="8">
        <v>45986.0</v>
      </c>
      <c r="B2" s="6">
        <v>87342.0</v>
      </c>
      <c r="C2" s="9">
        <f t="shared" ref="C2:C20" si="1">(B3/B2)-1</f>
        <v>0.01063634906</v>
      </c>
      <c r="D2" s="19">
        <v>0.0</v>
      </c>
    </row>
    <row r="3">
      <c r="A3" s="10">
        <v>45985.0</v>
      </c>
      <c r="B3" s="6">
        <v>88271.0</v>
      </c>
      <c r="C3" s="9">
        <f t="shared" si="1"/>
        <v>0.006661304392</v>
      </c>
      <c r="D3" s="20">
        <f t="shared" ref="D3:D20" si="2">(1+D2)*(1+C3)-1</f>
        <v>0.006661304392</v>
      </c>
    </row>
    <row r="4">
      <c r="A4" s="11">
        <v>45984.0</v>
      </c>
      <c r="B4" s="12">
        <v>88859.0</v>
      </c>
      <c r="C4" s="9">
        <f t="shared" si="1"/>
        <v>-0.04738968478</v>
      </c>
      <c r="D4" s="20">
        <f t="shared" si="2"/>
        <v>-0.0410440575</v>
      </c>
    </row>
    <row r="5">
      <c r="A5" s="13">
        <v>45983.0</v>
      </c>
      <c r="B5" s="14">
        <v>84648.0</v>
      </c>
      <c r="C5" s="9">
        <f t="shared" si="1"/>
        <v>0.005233437293</v>
      </c>
      <c r="D5" s="20">
        <f t="shared" si="2"/>
        <v>-0.03602542171</v>
      </c>
    </row>
    <row r="6">
      <c r="A6" s="13">
        <v>45982.0</v>
      </c>
      <c r="B6" s="14">
        <v>85091.0</v>
      </c>
      <c r="C6" s="9">
        <f t="shared" si="1"/>
        <v>0.01809827126</v>
      </c>
      <c r="D6" s="20">
        <f t="shared" si="2"/>
        <v>-0.0185791483</v>
      </c>
    </row>
    <row r="7">
      <c r="A7" s="13">
        <v>45981.0</v>
      </c>
      <c r="B7" s="14">
        <v>86631.0</v>
      </c>
      <c r="C7" s="9">
        <f t="shared" si="1"/>
        <v>0.05581143009</v>
      </c>
      <c r="D7" s="20">
        <f t="shared" si="2"/>
        <v>0.03619535295</v>
      </c>
    </row>
    <row r="8">
      <c r="A8" s="13">
        <v>45980.0</v>
      </c>
      <c r="B8" s="21">
        <v>91466.0</v>
      </c>
      <c r="C8" s="9">
        <f t="shared" si="1"/>
        <v>0.01621367503</v>
      </c>
      <c r="D8" s="20">
        <f t="shared" si="2"/>
        <v>0.05299588766</v>
      </c>
    </row>
    <row r="9">
      <c r="A9" s="13">
        <v>45979.0</v>
      </c>
      <c r="B9" s="21">
        <v>92949.0</v>
      </c>
      <c r="C9" s="9">
        <f t="shared" si="1"/>
        <v>-0.009198592777</v>
      </c>
      <c r="D9" s="20">
        <f t="shared" si="2"/>
        <v>0.0433098073</v>
      </c>
    </row>
    <row r="10">
      <c r="A10" s="13">
        <v>45978.0</v>
      </c>
      <c r="B10" s="14">
        <v>92094.0</v>
      </c>
      <c r="C10" s="9">
        <f t="shared" si="1"/>
        <v>0.02261819445</v>
      </c>
      <c r="D10" s="20">
        <f t="shared" si="2"/>
        <v>0.06690759139</v>
      </c>
      <c r="H10" s="22"/>
    </row>
    <row r="11">
      <c r="A11" s="13">
        <v>45977.0</v>
      </c>
      <c r="B11" s="23">
        <v>94177.0</v>
      </c>
      <c r="C11" s="9">
        <f t="shared" si="1"/>
        <v>0.01456831286</v>
      </c>
      <c r="D11" s="20">
        <f t="shared" si="2"/>
        <v>0.08245063498</v>
      </c>
    </row>
    <row r="12">
      <c r="A12" s="13">
        <v>45976.0</v>
      </c>
      <c r="B12" s="23">
        <v>95549.0</v>
      </c>
      <c r="C12" s="9">
        <f t="shared" si="1"/>
        <v>-0.01204617526</v>
      </c>
      <c r="D12" s="20">
        <f t="shared" si="2"/>
        <v>0.06941124492</v>
      </c>
    </row>
    <row r="13">
      <c r="A13" s="13">
        <v>45975.0</v>
      </c>
      <c r="B13" s="23">
        <v>94398.0</v>
      </c>
      <c r="C13" s="9">
        <f t="shared" si="1"/>
        <v>0.05613466387</v>
      </c>
      <c r="D13" s="20">
        <f t="shared" si="2"/>
        <v>0.1294422857</v>
      </c>
      <c r="E13" s="15" t="s">
        <v>16</v>
      </c>
    </row>
    <row r="14">
      <c r="A14" s="13">
        <v>45974.0</v>
      </c>
      <c r="B14" s="23">
        <v>99697.0</v>
      </c>
      <c r="C14" s="9">
        <f t="shared" si="1"/>
        <v>0.01971975085</v>
      </c>
      <c r="D14" s="20">
        <f t="shared" si="2"/>
        <v>0.1517146062</v>
      </c>
      <c r="E14" s="15" t="s">
        <v>17</v>
      </c>
    </row>
    <row r="15">
      <c r="A15" s="13">
        <v>45973.0</v>
      </c>
      <c r="B15" s="23">
        <v>101663.0</v>
      </c>
      <c r="C15" s="9">
        <f t="shared" si="1"/>
        <v>0.01312178472</v>
      </c>
      <c r="D15" s="20">
        <f t="shared" si="2"/>
        <v>0.1668271573</v>
      </c>
    </row>
    <row r="16">
      <c r="A16" s="13">
        <v>45972.0</v>
      </c>
      <c r="B16" s="23">
        <v>102997.0</v>
      </c>
      <c r="C16" s="9">
        <f t="shared" si="1"/>
        <v>0.02912706195</v>
      </c>
      <c r="D16" s="20">
        <f t="shared" si="2"/>
        <v>0.2008134042</v>
      </c>
    </row>
    <row r="17">
      <c r="A17" s="13">
        <v>45971.0</v>
      </c>
      <c r="B17" s="23">
        <v>105997.0</v>
      </c>
      <c r="C17" s="9">
        <f t="shared" si="1"/>
        <v>-0.01204751078</v>
      </c>
      <c r="D17" s="20">
        <f t="shared" si="2"/>
        <v>0.1863465917</v>
      </c>
    </row>
    <row r="18">
      <c r="A18" s="24">
        <v>45970.0</v>
      </c>
      <c r="B18" s="23">
        <v>104720.0</v>
      </c>
      <c r="C18" s="9">
        <f t="shared" si="1"/>
        <v>-0.02328113063</v>
      </c>
      <c r="D18" s="20">
        <f t="shared" si="2"/>
        <v>0.1587271018</v>
      </c>
    </row>
    <row r="19">
      <c r="A19" s="24">
        <v>45969.0</v>
      </c>
      <c r="B19" s="23">
        <v>102282.0</v>
      </c>
      <c r="C19" s="9">
        <f t="shared" si="1"/>
        <v>0.01065681156</v>
      </c>
      <c r="D19" s="20">
        <f t="shared" si="2"/>
        <v>0.1710754381</v>
      </c>
    </row>
    <row r="20">
      <c r="A20" s="24">
        <v>45968.0</v>
      </c>
      <c r="B20" s="23">
        <v>103372.0</v>
      </c>
      <c r="C20" s="9">
        <f t="shared" si="1"/>
        <v>-1</v>
      </c>
      <c r="D20" s="20">
        <f t="shared" si="2"/>
        <v>-1</v>
      </c>
    </row>
    <row r="21">
      <c r="A21" s="25"/>
      <c r="B21" s="26"/>
      <c r="C21" s="9"/>
      <c r="D21" s="20"/>
    </row>
    <row r="22">
      <c r="A22" s="27"/>
      <c r="B22" s="26"/>
      <c r="C22" s="9"/>
      <c r="D22" s="20"/>
    </row>
    <row r="23">
      <c r="A23" s="27"/>
      <c r="B23" s="28"/>
      <c r="C23" s="9"/>
      <c r="D23" s="20"/>
    </row>
    <row r="24">
      <c r="A24" s="27"/>
      <c r="B24" s="28"/>
      <c r="C24" s="9"/>
      <c r="D24" s="20"/>
    </row>
    <row r="25">
      <c r="A25" s="27"/>
      <c r="B25" s="28"/>
      <c r="C25" s="9"/>
      <c r="D25" s="20"/>
    </row>
    <row r="26">
      <c r="A26" s="27"/>
      <c r="B26" s="28"/>
      <c r="C26" s="9"/>
      <c r="D26" s="20"/>
    </row>
    <row r="27">
      <c r="A27" s="27"/>
      <c r="B27" s="28"/>
      <c r="C27" s="9"/>
      <c r="D27" s="20"/>
    </row>
    <row r="28">
      <c r="A28" s="27"/>
      <c r="B28" s="28"/>
      <c r="C28" s="9"/>
      <c r="D28" s="20"/>
    </row>
    <row r="29">
      <c r="A29" s="27"/>
      <c r="B29" s="28"/>
      <c r="C29" s="9"/>
      <c r="D29" s="20"/>
    </row>
    <row r="30">
      <c r="A30" s="27"/>
      <c r="B30" s="28"/>
      <c r="C30" s="9"/>
      <c r="D30" s="20"/>
    </row>
    <row r="31">
      <c r="A31" s="27"/>
      <c r="B31" s="28"/>
      <c r="C31" s="9"/>
      <c r="D31" s="20"/>
    </row>
    <row r="32">
      <c r="A32" s="27"/>
      <c r="B32" s="28"/>
      <c r="C32" s="9"/>
      <c r="D32" s="20"/>
    </row>
    <row r="33">
      <c r="A33" s="27"/>
      <c r="B33" s="28"/>
      <c r="C33" s="9"/>
      <c r="D33" s="20"/>
    </row>
    <row r="34">
      <c r="A34" s="27"/>
      <c r="B34" s="28"/>
      <c r="C34" s="9"/>
      <c r="D34" s="20"/>
    </row>
    <row r="35">
      <c r="A35" s="27"/>
      <c r="B35" s="28"/>
      <c r="C35" s="9"/>
      <c r="D35" s="20"/>
    </row>
    <row r="36">
      <c r="A36" s="27"/>
      <c r="B36" s="28"/>
      <c r="C36" s="9"/>
      <c r="D36" s="20"/>
    </row>
    <row r="37">
      <c r="A37" s="27"/>
      <c r="B37" s="28"/>
      <c r="C37" s="9"/>
      <c r="D37" s="20"/>
    </row>
    <row r="38">
      <c r="A38" s="27"/>
      <c r="B38" s="28"/>
      <c r="C38" s="9"/>
      <c r="D38" s="20"/>
    </row>
    <row r="39">
      <c r="A39" s="27"/>
      <c r="B39" s="28"/>
      <c r="C39" s="9"/>
      <c r="D39" s="20"/>
    </row>
    <row r="40">
      <c r="A40" s="27"/>
      <c r="B40" s="28"/>
      <c r="C40" s="9"/>
      <c r="D40" s="20"/>
    </row>
    <row r="41">
      <c r="A41" s="27"/>
      <c r="B41" s="28"/>
      <c r="C41" s="9"/>
      <c r="D41" s="20"/>
    </row>
    <row r="42">
      <c r="A42" s="27"/>
      <c r="B42" s="28"/>
      <c r="C42" s="9"/>
      <c r="D42" s="20"/>
    </row>
    <row r="43">
      <c r="A43" s="27"/>
      <c r="B43" s="28"/>
      <c r="C43" s="9"/>
      <c r="D43" s="20"/>
    </row>
    <row r="44">
      <c r="A44" s="27"/>
      <c r="B44" s="28"/>
      <c r="C44" s="9"/>
      <c r="D44" s="20"/>
    </row>
    <row r="45">
      <c r="A45" s="27"/>
      <c r="B45" s="28"/>
      <c r="C45" s="9"/>
      <c r="D45" s="20"/>
    </row>
    <row r="46">
      <c r="A46" s="27"/>
      <c r="B46" s="28"/>
      <c r="C46" s="9"/>
      <c r="D46" s="20"/>
    </row>
    <row r="47">
      <c r="A47" s="27"/>
      <c r="B47" s="28"/>
      <c r="C47" s="9"/>
      <c r="D47" s="20"/>
    </row>
    <row r="48">
      <c r="A48" s="27"/>
      <c r="B48" s="28"/>
      <c r="C48" s="9"/>
      <c r="D48" s="20"/>
    </row>
    <row r="49">
      <c r="A49" s="27"/>
      <c r="B49" s="28"/>
      <c r="C49" s="9"/>
      <c r="D49" s="20"/>
    </row>
    <row r="50">
      <c r="A50" s="27"/>
      <c r="B50" s="28"/>
      <c r="C50" s="9"/>
      <c r="D50" s="20"/>
    </row>
    <row r="51">
      <c r="A51" s="27"/>
      <c r="B51" s="28"/>
      <c r="C51" s="9"/>
      <c r="D51" s="20"/>
    </row>
    <row r="52">
      <c r="A52" s="27"/>
      <c r="B52" s="28"/>
      <c r="C52" s="9"/>
      <c r="D52" s="20"/>
    </row>
    <row r="53">
      <c r="A53" s="27"/>
      <c r="B53" s="28"/>
      <c r="C53" s="9"/>
      <c r="D53" s="20"/>
    </row>
    <row r="54">
      <c r="A54" s="27"/>
      <c r="B54" s="28"/>
      <c r="C54" s="9"/>
      <c r="D54" s="20"/>
    </row>
    <row r="55">
      <c r="A55" s="27"/>
      <c r="B55" s="28"/>
      <c r="C55" s="9"/>
      <c r="D55" s="20"/>
    </row>
    <row r="56">
      <c r="A56" s="27"/>
      <c r="B56" s="28"/>
      <c r="C56" s="9"/>
      <c r="D56" s="20"/>
    </row>
    <row r="57">
      <c r="A57" s="27"/>
      <c r="B57" s="28"/>
      <c r="C57" s="9"/>
      <c r="D57" s="20"/>
    </row>
    <row r="58">
      <c r="A58" s="27"/>
      <c r="B58" s="28"/>
      <c r="C58" s="9"/>
      <c r="D58" s="20"/>
    </row>
    <row r="59">
      <c r="A59" s="27"/>
      <c r="B59" s="28"/>
      <c r="C59" s="9"/>
      <c r="D59" s="20"/>
    </row>
    <row r="60">
      <c r="A60" s="27"/>
      <c r="B60" s="28"/>
      <c r="C60" s="9"/>
      <c r="D60" s="20"/>
    </row>
    <row r="61">
      <c r="A61" s="27"/>
      <c r="B61" s="28"/>
      <c r="C61" s="9"/>
      <c r="D61" s="20"/>
    </row>
    <row r="62">
      <c r="A62" s="27"/>
      <c r="B62" s="28"/>
      <c r="C62" s="9"/>
      <c r="D62" s="20"/>
    </row>
    <row r="63">
      <c r="A63" s="27"/>
      <c r="B63" s="28"/>
      <c r="C63" s="9"/>
      <c r="D63" s="20"/>
    </row>
    <row r="64">
      <c r="A64" s="27"/>
      <c r="B64" s="28"/>
      <c r="C64" s="9"/>
      <c r="D64" s="20"/>
    </row>
    <row r="65">
      <c r="A65" s="27"/>
      <c r="B65" s="28"/>
      <c r="C65" s="9"/>
      <c r="D65" s="20"/>
    </row>
    <row r="66">
      <c r="A66" s="27"/>
      <c r="B66" s="28"/>
      <c r="C66" s="9"/>
      <c r="D66" s="20"/>
    </row>
    <row r="67">
      <c r="A67" s="27"/>
      <c r="B67" s="28"/>
      <c r="C67" s="9"/>
      <c r="D67" s="20"/>
    </row>
    <row r="68">
      <c r="A68" s="27"/>
      <c r="B68" s="28"/>
      <c r="C68" s="9"/>
      <c r="D68" s="20"/>
    </row>
    <row r="69">
      <c r="A69" s="27"/>
      <c r="B69" s="28"/>
      <c r="C69" s="9"/>
      <c r="D69" s="20"/>
    </row>
    <row r="70">
      <c r="A70" s="27"/>
      <c r="B70" s="28"/>
      <c r="C70" s="9"/>
      <c r="D70" s="20"/>
    </row>
    <row r="71">
      <c r="A71" s="27"/>
      <c r="B71" s="28"/>
      <c r="C71" s="9"/>
      <c r="D71" s="20"/>
    </row>
    <row r="72">
      <c r="A72" s="27"/>
      <c r="B72" s="28"/>
      <c r="C72" s="9"/>
      <c r="D72" s="20"/>
    </row>
    <row r="73">
      <c r="A73" s="27"/>
      <c r="B73" s="28"/>
      <c r="C73" s="9"/>
      <c r="D73" s="20"/>
    </row>
    <row r="74">
      <c r="A74" s="27"/>
      <c r="B74" s="28"/>
      <c r="C74" s="9"/>
      <c r="D74" s="20"/>
    </row>
    <row r="75">
      <c r="A75" s="27"/>
      <c r="B75" s="28"/>
      <c r="C75" s="9"/>
      <c r="D75" s="20"/>
    </row>
    <row r="76">
      <c r="A76" s="27"/>
      <c r="B76" s="28"/>
      <c r="C76" s="9"/>
      <c r="D76" s="20"/>
    </row>
    <row r="77">
      <c r="A77" s="27"/>
      <c r="B77" s="28"/>
      <c r="C77" s="9"/>
      <c r="D77" s="20"/>
    </row>
    <row r="78">
      <c r="A78" s="27"/>
      <c r="B78" s="28"/>
      <c r="C78" s="9"/>
      <c r="D78" s="20"/>
    </row>
    <row r="79">
      <c r="A79" s="27"/>
      <c r="B79" s="28"/>
      <c r="C79" s="9"/>
      <c r="D79" s="20"/>
    </row>
    <row r="80">
      <c r="A80" s="27"/>
      <c r="B80" s="28"/>
      <c r="C80" s="9"/>
      <c r="D80" s="20"/>
    </row>
    <row r="81">
      <c r="A81" s="27"/>
      <c r="B81" s="28"/>
      <c r="C81" s="9"/>
      <c r="D81" s="20"/>
    </row>
    <row r="82">
      <c r="A82" s="27"/>
      <c r="B82" s="28"/>
      <c r="C82" s="9"/>
      <c r="D82" s="20"/>
    </row>
    <row r="83">
      <c r="A83" s="27"/>
      <c r="B83" s="28"/>
      <c r="C83" s="9"/>
      <c r="D83" s="20"/>
    </row>
    <row r="84">
      <c r="A84" s="27"/>
      <c r="B84" s="28"/>
      <c r="C84" s="9"/>
      <c r="D84" s="20"/>
    </row>
    <row r="85">
      <c r="A85" s="27"/>
      <c r="B85" s="28"/>
      <c r="C85" s="9"/>
      <c r="D85" s="20"/>
    </row>
    <row r="86">
      <c r="A86" s="27"/>
      <c r="B86" s="28"/>
      <c r="C86" s="9"/>
      <c r="D86" s="20"/>
    </row>
    <row r="87">
      <c r="A87" s="27"/>
      <c r="B87" s="28"/>
      <c r="C87" s="9"/>
      <c r="D87" s="20"/>
    </row>
    <row r="88">
      <c r="A88" s="27"/>
      <c r="B88" s="28"/>
      <c r="C88" s="9"/>
      <c r="D88" s="20"/>
    </row>
    <row r="89">
      <c r="A89" s="27"/>
      <c r="B89" s="28"/>
      <c r="C89" s="9"/>
      <c r="D89" s="20"/>
    </row>
    <row r="90">
      <c r="A90" s="27"/>
      <c r="B90" s="28"/>
      <c r="C90" s="9"/>
      <c r="D90" s="20"/>
    </row>
    <row r="91">
      <c r="A91" s="27"/>
      <c r="B91" s="28"/>
      <c r="C91" s="9"/>
      <c r="D91" s="20"/>
    </row>
    <row r="92">
      <c r="A92" s="27"/>
      <c r="B92" s="28"/>
      <c r="C92" s="9"/>
      <c r="D92" s="20"/>
    </row>
    <row r="93">
      <c r="A93" s="27"/>
      <c r="B93" s="28"/>
      <c r="C93" s="9"/>
      <c r="D93" s="20"/>
    </row>
    <row r="94">
      <c r="A94" s="27"/>
      <c r="B94" s="28"/>
      <c r="C94" s="9"/>
      <c r="D94" s="20"/>
    </row>
    <row r="95">
      <c r="A95" s="27"/>
      <c r="B95" s="28"/>
      <c r="C95" s="9"/>
      <c r="D95" s="20"/>
    </row>
    <row r="96">
      <c r="A96" s="27"/>
      <c r="B96" s="28"/>
      <c r="C96" s="9"/>
      <c r="D96" s="20"/>
    </row>
    <row r="97">
      <c r="A97" s="27"/>
      <c r="B97" s="28"/>
      <c r="C97" s="9"/>
      <c r="D97" s="20"/>
    </row>
    <row r="98">
      <c r="A98" s="27"/>
      <c r="B98" s="28"/>
      <c r="C98" s="9"/>
      <c r="D98" s="20"/>
    </row>
    <row r="99">
      <c r="A99" s="27"/>
      <c r="B99" s="28"/>
      <c r="C99" s="9"/>
      <c r="D99" s="20"/>
    </row>
    <row r="100">
      <c r="A100" s="27"/>
      <c r="B100" s="28"/>
      <c r="C100" s="9"/>
      <c r="D100" s="20"/>
    </row>
    <row r="101">
      <c r="A101" s="27"/>
      <c r="B101" s="28"/>
      <c r="C101" s="9"/>
      <c r="D101" s="20"/>
    </row>
    <row r="102">
      <c r="A102" s="27"/>
      <c r="B102" s="28"/>
      <c r="C102" s="9"/>
      <c r="D102" s="20"/>
    </row>
    <row r="103">
      <c r="A103" s="27"/>
      <c r="B103" s="28"/>
      <c r="C103" s="9"/>
      <c r="D103" s="20"/>
    </row>
    <row r="104">
      <c r="A104" s="27"/>
      <c r="B104" s="28"/>
      <c r="C104" s="9"/>
      <c r="D104" s="20"/>
    </row>
    <row r="105">
      <c r="A105" s="27"/>
      <c r="B105" s="28"/>
      <c r="C105" s="9"/>
      <c r="D105" s="20"/>
    </row>
    <row r="106">
      <c r="A106" s="27"/>
      <c r="B106" s="28"/>
      <c r="C106" s="9"/>
      <c r="D106" s="20"/>
    </row>
    <row r="107">
      <c r="A107" s="27"/>
      <c r="B107" s="28"/>
      <c r="C107" s="9"/>
      <c r="D107" s="20"/>
    </row>
    <row r="108">
      <c r="A108" s="27"/>
      <c r="B108" s="28"/>
      <c r="C108" s="9"/>
      <c r="D108" s="20"/>
    </row>
    <row r="109">
      <c r="A109" s="27"/>
      <c r="B109" s="28"/>
      <c r="C109" s="9"/>
      <c r="D109" s="20"/>
    </row>
    <row r="110">
      <c r="A110" s="27"/>
      <c r="B110" s="28"/>
      <c r="C110" s="9"/>
      <c r="D110" s="20"/>
    </row>
    <row r="111">
      <c r="A111" s="27"/>
      <c r="B111" s="28"/>
      <c r="C111" s="9"/>
      <c r="D111" s="20"/>
    </row>
    <row r="112">
      <c r="A112" s="27"/>
      <c r="B112" s="28"/>
      <c r="C112" s="9"/>
      <c r="D112" s="20"/>
    </row>
    <row r="113">
      <c r="A113" s="27"/>
      <c r="B113" s="28"/>
      <c r="C113" s="9"/>
      <c r="D113" s="20"/>
    </row>
    <row r="114">
      <c r="A114" s="27"/>
      <c r="B114" s="28"/>
      <c r="C114" s="9"/>
      <c r="D114" s="20"/>
    </row>
    <row r="115">
      <c r="A115" s="27"/>
      <c r="B115" s="28"/>
      <c r="C115" s="9"/>
      <c r="D115" s="20"/>
    </row>
    <row r="116">
      <c r="A116" s="27"/>
      <c r="B116" s="28"/>
      <c r="C116" s="9"/>
      <c r="D116" s="20"/>
    </row>
    <row r="117">
      <c r="A117" s="27"/>
      <c r="B117" s="28"/>
      <c r="C117" s="9"/>
      <c r="D117" s="20"/>
    </row>
    <row r="118">
      <c r="A118" s="27"/>
      <c r="B118" s="28"/>
      <c r="C118" s="9"/>
      <c r="D118" s="20"/>
    </row>
    <row r="119">
      <c r="A119" s="27"/>
      <c r="B119" s="28"/>
      <c r="C119" s="9"/>
      <c r="D119" s="20"/>
    </row>
    <row r="120">
      <c r="A120" s="27"/>
      <c r="B120" s="28"/>
      <c r="C120" s="9"/>
      <c r="D120" s="20"/>
    </row>
    <row r="121">
      <c r="A121" s="27"/>
      <c r="B121" s="28"/>
      <c r="C121" s="9"/>
      <c r="D121" s="20"/>
    </row>
    <row r="122">
      <c r="A122" s="27"/>
      <c r="B122" s="28"/>
      <c r="C122" s="9"/>
      <c r="D122" s="20"/>
    </row>
    <row r="123">
      <c r="A123" s="27"/>
      <c r="B123" s="28"/>
      <c r="C123" s="9"/>
      <c r="D123" s="20"/>
    </row>
    <row r="124">
      <c r="A124" s="27"/>
      <c r="B124" s="28"/>
      <c r="C124" s="9"/>
      <c r="D124" s="20"/>
    </row>
    <row r="125">
      <c r="A125" s="27"/>
      <c r="B125" s="28"/>
      <c r="C125" s="9"/>
      <c r="D125" s="20"/>
    </row>
    <row r="126">
      <c r="A126" s="27"/>
      <c r="B126" s="28"/>
      <c r="C126" s="9"/>
      <c r="D126" s="20"/>
    </row>
    <row r="127">
      <c r="A127" s="27"/>
      <c r="B127" s="28"/>
      <c r="C127" s="9"/>
      <c r="D127" s="20"/>
    </row>
    <row r="128">
      <c r="A128" s="27"/>
      <c r="B128" s="28"/>
      <c r="C128" s="9"/>
      <c r="D128" s="20"/>
    </row>
    <row r="129">
      <c r="A129" s="27"/>
      <c r="B129" s="28"/>
      <c r="C129" s="9"/>
      <c r="D129" s="20"/>
    </row>
    <row r="130">
      <c r="A130" s="27"/>
      <c r="B130" s="28"/>
      <c r="C130" s="9"/>
      <c r="D130" s="20"/>
    </row>
    <row r="131">
      <c r="A131" s="27"/>
      <c r="B131" s="28"/>
      <c r="C131" s="9"/>
      <c r="D131" s="20"/>
    </row>
    <row r="132">
      <c r="A132" s="27"/>
      <c r="B132" s="28"/>
      <c r="C132" s="9"/>
      <c r="D132" s="20"/>
    </row>
    <row r="133">
      <c r="A133" s="27"/>
      <c r="B133" s="28"/>
      <c r="C133" s="9"/>
      <c r="D133" s="20"/>
    </row>
    <row r="134">
      <c r="A134" s="27"/>
      <c r="B134" s="28"/>
      <c r="C134" s="9"/>
      <c r="D134" s="20"/>
    </row>
    <row r="135">
      <c r="A135" s="27"/>
      <c r="B135" s="28"/>
      <c r="C135" s="9"/>
      <c r="D135" s="20"/>
    </row>
    <row r="136">
      <c r="A136" s="27"/>
      <c r="B136" s="28"/>
      <c r="C136" s="9"/>
      <c r="D136" s="20"/>
    </row>
    <row r="137">
      <c r="A137" s="27"/>
      <c r="B137" s="28"/>
      <c r="C137" s="9"/>
      <c r="D137" s="20"/>
    </row>
    <row r="138">
      <c r="A138" s="27"/>
      <c r="B138" s="28"/>
      <c r="C138" s="9"/>
      <c r="D138" s="20"/>
    </row>
    <row r="139">
      <c r="A139" s="27"/>
      <c r="B139" s="28"/>
      <c r="C139" s="9"/>
      <c r="D139" s="20"/>
    </row>
    <row r="140">
      <c r="A140" s="27"/>
      <c r="B140" s="28"/>
      <c r="C140" s="9"/>
      <c r="D140" s="20"/>
    </row>
    <row r="141">
      <c r="A141" s="27"/>
      <c r="B141" s="28"/>
      <c r="C141" s="9"/>
      <c r="D141" s="20"/>
    </row>
    <row r="142">
      <c r="A142" s="27"/>
      <c r="B142" s="28"/>
      <c r="C142" s="9"/>
      <c r="D142" s="20"/>
    </row>
    <row r="143">
      <c r="A143" s="27"/>
      <c r="B143" s="28"/>
      <c r="C143" s="9"/>
      <c r="D143" s="20"/>
    </row>
    <row r="144">
      <c r="A144" s="27"/>
      <c r="B144" s="28"/>
      <c r="C144" s="9"/>
      <c r="D144" s="20"/>
    </row>
    <row r="145">
      <c r="A145" s="27"/>
      <c r="B145" s="28"/>
      <c r="C145" s="9"/>
      <c r="D145" s="20"/>
    </row>
    <row r="146">
      <c r="A146" s="27"/>
      <c r="B146" s="28"/>
      <c r="C146" s="9"/>
      <c r="D146" s="20"/>
    </row>
    <row r="147">
      <c r="A147" s="27"/>
      <c r="B147" s="28"/>
      <c r="C147" s="9"/>
      <c r="D147" s="20"/>
    </row>
    <row r="148">
      <c r="A148" s="27"/>
      <c r="B148" s="28"/>
      <c r="C148" s="9"/>
      <c r="D148" s="20"/>
    </row>
    <row r="149">
      <c r="A149" s="27"/>
      <c r="B149" s="28"/>
      <c r="C149" s="9"/>
      <c r="D149" s="20"/>
    </row>
    <row r="150">
      <c r="A150" s="27"/>
      <c r="B150" s="28"/>
      <c r="C150" s="9"/>
      <c r="D150" s="20"/>
    </row>
    <row r="151">
      <c r="A151" s="27"/>
      <c r="B151" s="28"/>
      <c r="C151" s="9"/>
      <c r="D151" s="20"/>
    </row>
    <row r="152">
      <c r="A152" s="27"/>
      <c r="B152" s="28"/>
      <c r="C152" s="9"/>
      <c r="D152" s="20"/>
    </row>
    <row r="153">
      <c r="A153" s="27"/>
      <c r="B153" s="28"/>
      <c r="C153" s="9"/>
      <c r="D153" s="20"/>
    </row>
    <row r="154">
      <c r="A154" s="27"/>
      <c r="B154" s="28"/>
      <c r="C154" s="9"/>
      <c r="D154" s="20"/>
    </row>
    <row r="155">
      <c r="A155" s="27"/>
      <c r="B155" s="28"/>
      <c r="C155" s="9"/>
      <c r="D155" s="20"/>
    </row>
    <row r="156">
      <c r="A156" s="27"/>
      <c r="B156" s="28"/>
      <c r="C156" s="9"/>
      <c r="D156" s="20"/>
    </row>
    <row r="157">
      <c r="A157" s="27"/>
      <c r="B157" s="28"/>
      <c r="C157" s="9"/>
      <c r="D157" s="20"/>
    </row>
    <row r="158">
      <c r="A158" s="27"/>
      <c r="B158" s="28"/>
      <c r="C158" s="9"/>
      <c r="D158" s="20"/>
    </row>
    <row r="159">
      <c r="A159" s="27"/>
      <c r="B159" s="28"/>
      <c r="C159" s="9"/>
      <c r="D159" s="20"/>
    </row>
    <row r="160">
      <c r="A160" s="27"/>
      <c r="B160" s="28"/>
      <c r="C160" s="9"/>
      <c r="D160" s="20"/>
    </row>
    <row r="161">
      <c r="A161" s="27"/>
      <c r="B161" s="28"/>
      <c r="C161" s="9"/>
      <c r="D161" s="20"/>
    </row>
    <row r="162">
      <c r="A162" s="27"/>
      <c r="B162" s="28"/>
      <c r="C162" s="9"/>
      <c r="D162" s="20"/>
    </row>
    <row r="163">
      <c r="A163" s="27"/>
      <c r="B163" s="28"/>
      <c r="C163" s="9"/>
      <c r="D163" s="20"/>
    </row>
    <row r="164">
      <c r="A164" s="27"/>
      <c r="B164" s="28"/>
      <c r="C164" s="9"/>
      <c r="D164" s="20"/>
    </row>
    <row r="165">
      <c r="A165" s="27"/>
      <c r="B165" s="28"/>
      <c r="C165" s="9"/>
      <c r="D165" s="20"/>
    </row>
    <row r="166">
      <c r="A166" s="27"/>
      <c r="B166" s="28"/>
      <c r="C166" s="9"/>
      <c r="D166" s="20"/>
    </row>
    <row r="167">
      <c r="A167" s="27"/>
      <c r="B167" s="28"/>
      <c r="C167" s="9"/>
      <c r="D167" s="20"/>
    </row>
    <row r="168">
      <c r="A168" s="27"/>
      <c r="B168" s="28"/>
      <c r="C168" s="9"/>
      <c r="D168" s="20"/>
    </row>
    <row r="169">
      <c r="A169" s="27"/>
      <c r="B169" s="28"/>
      <c r="C169" s="9"/>
      <c r="D169" s="20"/>
    </row>
    <row r="170">
      <c r="A170" s="27"/>
      <c r="B170" s="28"/>
      <c r="C170" s="9"/>
      <c r="D170" s="20"/>
    </row>
    <row r="171">
      <c r="A171" s="27"/>
      <c r="B171" s="28"/>
      <c r="C171" s="9"/>
      <c r="D171" s="20"/>
    </row>
    <row r="172">
      <c r="A172" s="27"/>
      <c r="B172" s="28"/>
      <c r="C172" s="9"/>
      <c r="D172" s="20"/>
    </row>
    <row r="173">
      <c r="A173" s="27"/>
      <c r="B173" s="28"/>
      <c r="C173" s="9"/>
      <c r="D173" s="20"/>
    </row>
    <row r="174">
      <c r="A174" s="27"/>
      <c r="B174" s="28"/>
      <c r="C174" s="9"/>
      <c r="D174" s="20"/>
    </row>
    <row r="175">
      <c r="A175" s="27"/>
      <c r="B175" s="28"/>
      <c r="C175" s="9"/>
      <c r="D175" s="20"/>
    </row>
    <row r="176">
      <c r="A176" s="27"/>
      <c r="B176" s="28"/>
      <c r="C176" s="9"/>
      <c r="D176" s="20"/>
    </row>
    <row r="177">
      <c r="A177" s="27"/>
      <c r="B177" s="28"/>
      <c r="C177" s="9"/>
      <c r="D177" s="20"/>
    </row>
    <row r="178">
      <c r="A178" s="27"/>
      <c r="B178" s="28"/>
      <c r="C178" s="9"/>
      <c r="D178" s="20"/>
    </row>
    <row r="179">
      <c r="A179" s="27"/>
      <c r="B179" s="28"/>
      <c r="C179" s="9"/>
      <c r="D179" s="20"/>
    </row>
    <row r="180">
      <c r="A180" s="27"/>
      <c r="B180" s="28"/>
      <c r="C180" s="9"/>
      <c r="D180" s="20"/>
    </row>
    <row r="181">
      <c r="A181" s="27"/>
      <c r="B181" s="28"/>
      <c r="C181" s="9"/>
      <c r="D181" s="20"/>
    </row>
    <row r="182">
      <c r="A182" s="27"/>
      <c r="B182" s="28"/>
      <c r="C182" s="9"/>
      <c r="D182" s="20"/>
    </row>
    <row r="183">
      <c r="A183" s="27"/>
      <c r="B183" s="28"/>
      <c r="C183" s="9"/>
      <c r="D183" s="20"/>
    </row>
    <row r="184">
      <c r="A184" s="27"/>
      <c r="B184" s="28"/>
      <c r="C184" s="9"/>
      <c r="D184" s="20"/>
    </row>
    <row r="185">
      <c r="A185" s="27"/>
      <c r="B185" s="28"/>
      <c r="C185" s="9"/>
      <c r="D185" s="20"/>
    </row>
    <row r="186">
      <c r="A186" s="27"/>
      <c r="B186" s="28"/>
      <c r="C186" s="9"/>
      <c r="D186" s="20"/>
    </row>
    <row r="187">
      <c r="A187" s="27"/>
      <c r="B187" s="28"/>
      <c r="C187" s="9"/>
      <c r="D187" s="20"/>
    </row>
    <row r="188">
      <c r="A188" s="27"/>
      <c r="B188" s="28"/>
      <c r="C188" s="9"/>
      <c r="D188" s="20"/>
    </row>
    <row r="189">
      <c r="A189" s="27"/>
      <c r="B189" s="28"/>
      <c r="C189" s="9"/>
      <c r="D189" s="20"/>
    </row>
    <row r="190">
      <c r="A190" s="27"/>
      <c r="B190" s="28"/>
      <c r="C190" s="9"/>
      <c r="D190" s="20"/>
    </row>
    <row r="191">
      <c r="A191" s="27"/>
      <c r="B191" s="28"/>
      <c r="C191" s="9"/>
      <c r="D191" s="20"/>
    </row>
    <row r="192">
      <c r="A192" s="27"/>
      <c r="B192" s="28"/>
      <c r="C192" s="9"/>
      <c r="D192" s="20"/>
    </row>
    <row r="193">
      <c r="A193" s="27"/>
      <c r="B193" s="28"/>
      <c r="C193" s="9"/>
      <c r="D193" s="20"/>
    </row>
    <row r="194">
      <c r="A194" s="27"/>
      <c r="B194" s="28"/>
      <c r="C194" s="9"/>
      <c r="D194" s="20"/>
    </row>
    <row r="195">
      <c r="A195" s="27"/>
      <c r="B195" s="28"/>
      <c r="C195" s="9"/>
      <c r="D195" s="20"/>
    </row>
    <row r="196">
      <c r="A196" s="27"/>
      <c r="B196" s="28"/>
      <c r="C196" s="9"/>
      <c r="D196" s="20"/>
    </row>
    <row r="197">
      <c r="A197" s="27"/>
      <c r="B197" s="28"/>
      <c r="C197" s="9"/>
      <c r="D197" s="20"/>
    </row>
    <row r="198">
      <c r="A198" s="27"/>
      <c r="B198" s="28"/>
      <c r="C198" s="9"/>
      <c r="D198" s="20"/>
    </row>
    <row r="199">
      <c r="A199" s="27"/>
      <c r="B199" s="28"/>
      <c r="C199" s="9"/>
      <c r="D199" s="20"/>
    </row>
    <row r="200">
      <c r="A200" s="27"/>
      <c r="B200" s="28"/>
      <c r="C200" s="9"/>
      <c r="D200" s="20"/>
    </row>
    <row r="201">
      <c r="A201" s="27"/>
      <c r="B201" s="28"/>
      <c r="C201" s="9"/>
      <c r="D201" s="20"/>
    </row>
    <row r="202">
      <c r="A202" s="27"/>
      <c r="B202" s="28"/>
      <c r="C202" s="9"/>
      <c r="D202" s="20"/>
    </row>
    <row r="203">
      <c r="A203" s="27"/>
      <c r="B203" s="28"/>
      <c r="C203" s="9"/>
      <c r="D203" s="20"/>
    </row>
    <row r="204">
      <c r="A204" s="27"/>
      <c r="B204" s="28"/>
      <c r="C204" s="9"/>
      <c r="D204" s="20"/>
    </row>
    <row r="205">
      <c r="A205" s="27"/>
      <c r="B205" s="28"/>
      <c r="C205" s="9"/>
      <c r="D205" s="20"/>
    </row>
    <row r="206">
      <c r="A206" s="27"/>
      <c r="B206" s="28"/>
      <c r="C206" s="9"/>
      <c r="D206" s="20"/>
    </row>
    <row r="207">
      <c r="A207" s="27"/>
      <c r="B207" s="28"/>
      <c r="C207" s="9"/>
      <c r="D207" s="20"/>
    </row>
    <row r="208">
      <c r="A208" s="27"/>
      <c r="B208" s="28"/>
      <c r="C208" s="9"/>
      <c r="D208" s="20"/>
    </row>
    <row r="209">
      <c r="A209" s="27"/>
      <c r="B209" s="28"/>
      <c r="C209" s="9"/>
      <c r="D209" s="20"/>
    </row>
    <row r="210">
      <c r="A210" s="27"/>
      <c r="B210" s="28"/>
      <c r="C210" s="9"/>
      <c r="D210" s="20"/>
    </row>
    <row r="211">
      <c r="A211" s="27"/>
      <c r="B211" s="28"/>
      <c r="C211" s="9"/>
      <c r="D211" s="20"/>
    </row>
    <row r="212">
      <c r="A212" s="27"/>
      <c r="B212" s="28"/>
      <c r="C212" s="9"/>
      <c r="D212" s="20"/>
    </row>
    <row r="213">
      <c r="A213" s="27"/>
      <c r="B213" s="28"/>
      <c r="C213" s="9"/>
      <c r="D213" s="20"/>
    </row>
    <row r="214">
      <c r="A214" s="27"/>
      <c r="B214" s="28"/>
      <c r="C214" s="9"/>
      <c r="D214" s="20"/>
    </row>
    <row r="215">
      <c r="A215" s="27"/>
      <c r="B215" s="28"/>
      <c r="C215" s="9"/>
      <c r="D215" s="20"/>
    </row>
    <row r="216">
      <c r="A216" s="27"/>
      <c r="B216" s="28"/>
      <c r="C216" s="9"/>
      <c r="D216" s="20"/>
    </row>
    <row r="217">
      <c r="A217" s="27"/>
      <c r="B217" s="28"/>
      <c r="C217" s="9"/>
      <c r="D217" s="20"/>
    </row>
    <row r="218">
      <c r="A218" s="27"/>
      <c r="B218" s="28"/>
      <c r="C218" s="9"/>
      <c r="D218" s="20"/>
    </row>
    <row r="219">
      <c r="A219" s="27"/>
      <c r="B219" s="28"/>
      <c r="C219" s="9"/>
      <c r="D219" s="20"/>
    </row>
    <row r="220">
      <c r="A220" s="27"/>
      <c r="B220" s="28"/>
      <c r="C220" s="9"/>
      <c r="D220" s="20"/>
    </row>
    <row r="221">
      <c r="A221" s="27"/>
      <c r="B221" s="28"/>
      <c r="C221" s="9"/>
      <c r="D221" s="20"/>
    </row>
    <row r="222">
      <c r="A222" s="27"/>
      <c r="B222" s="28"/>
      <c r="C222" s="9"/>
      <c r="D222" s="20"/>
    </row>
    <row r="223">
      <c r="A223" s="27"/>
      <c r="B223" s="28"/>
      <c r="C223" s="9"/>
      <c r="D223" s="20"/>
    </row>
    <row r="224">
      <c r="A224" s="27"/>
      <c r="B224" s="28"/>
      <c r="C224" s="9"/>
      <c r="D224" s="20"/>
    </row>
    <row r="225">
      <c r="A225" s="27"/>
      <c r="B225" s="28"/>
      <c r="C225" s="9"/>
      <c r="D225" s="20"/>
    </row>
    <row r="226">
      <c r="A226" s="27"/>
      <c r="B226" s="28"/>
      <c r="C226" s="9"/>
      <c r="D226" s="20"/>
    </row>
    <row r="227">
      <c r="A227" s="27"/>
      <c r="B227" s="28"/>
      <c r="C227" s="9"/>
      <c r="D227" s="20"/>
    </row>
    <row r="228">
      <c r="A228" s="27"/>
      <c r="B228" s="28"/>
      <c r="C228" s="9"/>
      <c r="D228" s="20"/>
    </row>
    <row r="229">
      <c r="A229" s="27"/>
      <c r="B229" s="28"/>
      <c r="C229" s="9"/>
      <c r="D229" s="20"/>
    </row>
    <row r="230">
      <c r="A230" s="27"/>
      <c r="B230" s="28"/>
      <c r="C230" s="9"/>
      <c r="D230" s="20"/>
    </row>
    <row r="231">
      <c r="A231" s="27"/>
      <c r="B231" s="28"/>
      <c r="C231" s="9"/>
      <c r="D231" s="20"/>
    </row>
    <row r="232">
      <c r="A232" s="27"/>
      <c r="B232" s="28"/>
      <c r="C232" s="9"/>
      <c r="D232" s="20"/>
    </row>
    <row r="233">
      <c r="A233" s="27"/>
      <c r="B233" s="28"/>
      <c r="C233" s="9"/>
      <c r="D233" s="20"/>
    </row>
    <row r="234">
      <c r="A234" s="27"/>
      <c r="B234" s="28"/>
      <c r="C234" s="9"/>
      <c r="D234" s="20"/>
    </row>
    <row r="235">
      <c r="A235" s="27"/>
      <c r="B235" s="28"/>
      <c r="C235" s="9"/>
      <c r="D235" s="20"/>
    </row>
    <row r="236">
      <c r="A236" s="27"/>
      <c r="B236" s="28"/>
      <c r="C236" s="9"/>
      <c r="D236" s="20"/>
    </row>
    <row r="237">
      <c r="A237" s="27"/>
      <c r="B237" s="28"/>
      <c r="C237" s="9"/>
      <c r="D237" s="20"/>
    </row>
    <row r="238">
      <c r="A238" s="27"/>
      <c r="B238" s="28"/>
      <c r="C238" s="9"/>
      <c r="D238" s="20"/>
    </row>
    <row r="239">
      <c r="A239" s="27"/>
      <c r="B239" s="28"/>
      <c r="C239" s="9"/>
      <c r="D239" s="20"/>
    </row>
    <row r="240">
      <c r="A240" s="27"/>
      <c r="B240" s="28"/>
      <c r="C240" s="9"/>
      <c r="D240" s="20"/>
    </row>
    <row r="241">
      <c r="A241" s="27"/>
      <c r="B241" s="28"/>
      <c r="C241" s="9"/>
      <c r="D241" s="20"/>
    </row>
    <row r="242">
      <c r="A242" s="27"/>
      <c r="B242" s="28"/>
      <c r="C242" s="9"/>
      <c r="D242" s="20"/>
    </row>
    <row r="243">
      <c r="A243" s="27"/>
      <c r="B243" s="28"/>
      <c r="C243" s="9"/>
      <c r="D243" s="20"/>
    </row>
    <row r="244">
      <c r="A244" s="27"/>
      <c r="B244" s="28"/>
      <c r="C244" s="9"/>
      <c r="D244" s="20"/>
    </row>
    <row r="245">
      <c r="A245" s="27"/>
      <c r="B245" s="28"/>
      <c r="C245" s="9"/>
      <c r="D245" s="20"/>
    </row>
    <row r="246">
      <c r="A246" s="27"/>
      <c r="B246" s="28"/>
      <c r="C246" s="9"/>
      <c r="D246" s="20"/>
    </row>
    <row r="247">
      <c r="A247" s="27"/>
      <c r="B247" s="28"/>
      <c r="C247" s="9"/>
      <c r="D247" s="20"/>
    </row>
    <row r="248">
      <c r="A248" s="27"/>
      <c r="B248" s="28"/>
      <c r="C248" s="9"/>
      <c r="D248" s="20"/>
    </row>
    <row r="249">
      <c r="A249" s="27"/>
      <c r="B249" s="28"/>
      <c r="C249" s="9"/>
      <c r="D249" s="20"/>
    </row>
    <row r="250">
      <c r="A250" s="27"/>
      <c r="B250" s="28"/>
      <c r="C250" s="9"/>
      <c r="D250" s="20"/>
    </row>
    <row r="251">
      <c r="A251" s="27"/>
      <c r="B251" s="28"/>
      <c r="C251" s="9"/>
      <c r="D251" s="20"/>
    </row>
    <row r="252">
      <c r="A252" s="27"/>
      <c r="B252" s="28"/>
      <c r="C252" s="9"/>
      <c r="D252" s="20"/>
    </row>
    <row r="253">
      <c r="A253" s="27"/>
      <c r="B253" s="28"/>
      <c r="C253" s="9"/>
      <c r="D253" s="20"/>
    </row>
    <row r="254">
      <c r="A254" s="27"/>
      <c r="B254" s="28"/>
      <c r="C254" s="9"/>
      <c r="D254" s="20"/>
    </row>
    <row r="255">
      <c r="A255" s="27"/>
      <c r="B255" s="28"/>
      <c r="C255" s="9"/>
      <c r="D255" s="20"/>
    </row>
    <row r="256">
      <c r="A256" s="27"/>
      <c r="B256" s="28"/>
      <c r="C256" s="9"/>
      <c r="D256" s="20"/>
    </row>
    <row r="257">
      <c r="A257" s="27"/>
      <c r="B257" s="28"/>
      <c r="C257" s="9"/>
      <c r="D257" s="20"/>
    </row>
    <row r="258">
      <c r="A258" s="27"/>
      <c r="B258" s="28"/>
      <c r="C258" s="9"/>
      <c r="D258" s="20"/>
    </row>
    <row r="259">
      <c r="A259" s="27"/>
      <c r="B259" s="28"/>
      <c r="C259" s="9"/>
      <c r="D259" s="20"/>
    </row>
    <row r="260">
      <c r="A260" s="27"/>
      <c r="B260" s="28"/>
      <c r="C260" s="9"/>
      <c r="D260" s="20"/>
    </row>
    <row r="261">
      <c r="A261" s="27"/>
      <c r="B261" s="28"/>
      <c r="C261" s="9"/>
      <c r="D261" s="20"/>
    </row>
    <row r="262">
      <c r="A262" s="27"/>
      <c r="B262" s="28"/>
      <c r="C262" s="9"/>
      <c r="D262" s="20"/>
    </row>
    <row r="263">
      <c r="A263" s="27"/>
      <c r="B263" s="28"/>
      <c r="C263" s="9"/>
      <c r="D263" s="20"/>
    </row>
    <row r="264">
      <c r="A264" s="27"/>
      <c r="B264" s="28"/>
      <c r="C264" s="9"/>
      <c r="D264" s="20"/>
    </row>
    <row r="265">
      <c r="A265" s="27"/>
      <c r="B265" s="28"/>
      <c r="C265" s="9"/>
      <c r="D265" s="20"/>
    </row>
    <row r="266">
      <c r="A266" s="27"/>
      <c r="B266" s="28"/>
      <c r="C266" s="9"/>
      <c r="D266" s="20"/>
    </row>
    <row r="267">
      <c r="A267" s="27"/>
      <c r="B267" s="28"/>
      <c r="C267" s="9"/>
      <c r="D267" s="20"/>
    </row>
    <row r="268">
      <c r="A268" s="27"/>
      <c r="B268" s="28"/>
      <c r="C268" s="9"/>
      <c r="D268" s="20"/>
    </row>
    <row r="269">
      <c r="A269" s="27"/>
      <c r="B269" s="28"/>
      <c r="C269" s="9"/>
      <c r="D269" s="20"/>
    </row>
    <row r="270">
      <c r="A270" s="27"/>
      <c r="B270" s="28"/>
      <c r="C270" s="9"/>
      <c r="D270" s="20"/>
    </row>
    <row r="271">
      <c r="A271" s="27"/>
      <c r="B271" s="28"/>
      <c r="C271" s="9"/>
      <c r="D271" s="20"/>
    </row>
    <row r="272">
      <c r="A272" s="27"/>
      <c r="B272" s="28"/>
      <c r="C272" s="9"/>
      <c r="D272" s="20"/>
    </row>
    <row r="273">
      <c r="A273" s="27"/>
      <c r="B273" s="28"/>
      <c r="C273" s="9"/>
      <c r="D273" s="20"/>
    </row>
    <row r="274">
      <c r="A274" s="27"/>
      <c r="B274" s="28"/>
      <c r="C274" s="9"/>
      <c r="D274" s="20"/>
    </row>
    <row r="275">
      <c r="A275" s="27"/>
      <c r="B275" s="28"/>
      <c r="C275" s="9"/>
      <c r="D275" s="20"/>
    </row>
    <row r="276">
      <c r="A276" s="27"/>
      <c r="B276" s="28"/>
      <c r="C276" s="9"/>
      <c r="D276" s="20"/>
    </row>
    <row r="277">
      <c r="A277" s="27"/>
      <c r="B277" s="28"/>
      <c r="C277" s="9"/>
      <c r="D277" s="20"/>
    </row>
    <row r="278">
      <c r="A278" s="27"/>
      <c r="B278" s="28"/>
      <c r="C278" s="9"/>
      <c r="D278" s="20"/>
    </row>
    <row r="279">
      <c r="A279" s="27"/>
      <c r="B279" s="28"/>
      <c r="C279" s="9"/>
      <c r="D279" s="20"/>
    </row>
    <row r="280">
      <c r="A280" s="27"/>
      <c r="B280" s="28"/>
      <c r="C280" s="9"/>
      <c r="D280" s="20"/>
    </row>
    <row r="281">
      <c r="A281" s="27"/>
      <c r="B281" s="28"/>
      <c r="C281" s="9"/>
      <c r="D281" s="20"/>
    </row>
    <row r="282">
      <c r="A282" s="27"/>
      <c r="B282" s="28"/>
      <c r="C282" s="9"/>
      <c r="D282" s="20"/>
    </row>
    <row r="283">
      <c r="A283" s="27"/>
      <c r="B283" s="28"/>
      <c r="C283" s="9"/>
      <c r="D283" s="20"/>
    </row>
    <row r="284">
      <c r="A284" s="27"/>
      <c r="B284" s="28"/>
      <c r="C284" s="9"/>
      <c r="D284" s="20"/>
    </row>
    <row r="285">
      <c r="A285" s="27"/>
      <c r="B285" s="28"/>
      <c r="C285" s="9"/>
      <c r="D285" s="20"/>
    </row>
    <row r="286">
      <c r="A286" s="27"/>
      <c r="B286" s="28"/>
      <c r="C286" s="9"/>
      <c r="D286" s="20"/>
    </row>
    <row r="287">
      <c r="A287" s="27"/>
      <c r="B287" s="28"/>
      <c r="C287" s="9"/>
      <c r="D287" s="20"/>
    </row>
    <row r="288">
      <c r="A288" s="27"/>
      <c r="B288" s="28"/>
      <c r="C288" s="9"/>
      <c r="D288" s="20"/>
    </row>
    <row r="289">
      <c r="A289" s="27"/>
      <c r="B289" s="28"/>
      <c r="C289" s="9"/>
      <c r="D289" s="20"/>
    </row>
    <row r="290">
      <c r="A290" s="27"/>
      <c r="B290" s="28"/>
      <c r="C290" s="9"/>
      <c r="D290" s="20"/>
    </row>
    <row r="291">
      <c r="A291" s="27"/>
      <c r="B291" s="28"/>
      <c r="C291" s="9"/>
      <c r="D291" s="20"/>
    </row>
    <row r="292">
      <c r="A292" s="27"/>
      <c r="B292" s="28"/>
      <c r="C292" s="9"/>
      <c r="D292" s="20"/>
    </row>
    <row r="293">
      <c r="A293" s="27"/>
      <c r="B293" s="28"/>
      <c r="C293" s="9"/>
      <c r="D293" s="20"/>
    </row>
    <row r="294">
      <c r="A294" s="27"/>
      <c r="B294" s="28"/>
      <c r="C294" s="9"/>
      <c r="D294" s="20"/>
    </row>
    <row r="295">
      <c r="A295" s="27"/>
      <c r="B295" s="28"/>
      <c r="C295" s="9"/>
      <c r="D295" s="20"/>
    </row>
    <row r="296">
      <c r="A296" s="27"/>
      <c r="B296" s="28"/>
      <c r="C296" s="9"/>
      <c r="D296" s="20"/>
    </row>
    <row r="297">
      <c r="A297" s="27"/>
      <c r="B297" s="28"/>
      <c r="C297" s="9"/>
      <c r="D297" s="20"/>
    </row>
    <row r="298">
      <c r="A298" s="27"/>
      <c r="B298" s="28"/>
      <c r="C298" s="9"/>
      <c r="D298" s="20"/>
    </row>
    <row r="299">
      <c r="A299" s="27"/>
      <c r="B299" s="28"/>
      <c r="C299" s="9"/>
      <c r="D299" s="20"/>
    </row>
    <row r="300">
      <c r="A300" s="27"/>
      <c r="B300" s="28"/>
      <c r="C300" s="9"/>
      <c r="D300" s="20"/>
    </row>
    <row r="301">
      <c r="A301" s="27"/>
      <c r="B301" s="28"/>
      <c r="C301" s="9"/>
      <c r="D301" s="20"/>
    </row>
    <row r="302">
      <c r="A302" s="27"/>
      <c r="B302" s="28"/>
      <c r="C302" s="9"/>
      <c r="D302" s="20"/>
    </row>
    <row r="303">
      <c r="A303" s="27"/>
      <c r="B303" s="28"/>
      <c r="C303" s="9"/>
      <c r="D303" s="20"/>
    </row>
    <row r="304">
      <c r="A304" s="27"/>
      <c r="B304" s="28"/>
      <c r="C304" s="9"/>
      <c r="D304" s="20"/>
    </row>
    <row r="305">
      <c r="A305" s="27"/>
      <c r="B305" s="28"/>
      <c r="C305" s="9"/>
      <c r="D305" s="20"/>
    </row>
    <row r="306">
      <c r="A306" s="27"/>
      <c r="B306" s="28"/>
      <c r="C306" s="9"/>
      <c r="D306" s="20"/>
    </row>
    <row r="307">
      <c r="A307" s="27"/>
      <c r="B307" s="28"/>
      <c r="C307" s="9"/>
      <c r="D307" s="20"/>
    </row>
    <row r="308">
      <c r="A308" s="27"/>
      <c r="B308" s="28"/>
      <c r="C308" s="9"/>
      <c r="D308" s="20"/>
    </row>
    <row r="309">
      <c r="A309" s="27"/>
      <c r="B309" s="28"/>
      <c r="C309" s="9"/>
      <c r="D309" s="20"/>
    </row>
    <row r="310">
      <c r="A310" s="27"/>
      <c r="B310" s="28"/>
      <c r="C310" s="9"/>
      <c r="D310" s="20"/>
    </row>
    <row r="311">
      <c r="A311" s="27"/>
      <c r="B311" s="28"/>
      <c r="C311" s="9"/>
      <c r="D311" s="20"/>
    </row>
    <row r="312">
      <c r="A312" s="27"/>
      <c r="B312" s="28"/>
      <c r="C312" s="9"/>
      <c r="D312" s="20"/>
    </row>
    <row r="313">
      <c r="A313" s="27"/>
      <c r="B313" s="28"/>
      <c r="C313" s="9"/>
      <c r="D313" s="20"/>
    </row>
    <row r="314">
      <c r="A314" s="27"/>
      <c r="B314" s="28"/>
      <c r="C314" s="9"/>
      <c r="D314" s="20"/>
    </row>
    <row r="315">
      <c r="A315" s="27"/>
      <c r="B315" s="28"/>
      <c r="C315" s="9"/>
      <c r="D315" s="20"/>
    </row>
    <row r="316">
      <c r="A316" s="27"/>
      <c r="B316" s="28"/>
      <c r="C316" s="9"/>
      <c r="D316" s="20"/>
    </row>
    <row r="317">
      <c r="A317" s="27"/>
      <c r="B317" s="28"/>
      <c r="C317" s="9"/>
      <c r="D317" s="20"/>
    </row>
    <row r="318">
      <c r="A318" s="27"/>
      <c r="B318" s="28"/>
      <c r="C318" s="9"/>
      <c r="D318" s="20"/>
    </row>
    <row r="319">
      <c r="A319" s="27"/>
      <c r="B319" s="28"/>
      <c r="C319" s="9"/>
      <c r="D319" s="20"/>
    </row>
    <row r="320">
      <c r="A320" s="27"/>
      <c r="B320" s="28"/>
      <c r="C320" s="9"/>
      <c r="D320" s="20"/>
    </row>
    <row r="321">
      <c r="A321" s="27"/>
      <c r="B321" s="28"/>
      <c r="C321" s="9"/>
      <c r="D321" s="20"/>
    </row>
    <row r="322">
      <c r="A322" s="27"/>
      <c r="B322" s="28"/>
      <c r="C322" s="9"/>
      <c r="D322" s="20"/>
    </row>
    <row r="323">
      <c r="A323" s="27"/>
      <c r="B323" s="28"/>
      <c r="C323" s="9"/>
      <c r="D323" s="20"/>
    </row>
    <row r="324">
      <c r="A324" s="27"/>
      <c r="B324" s="28"/>
      <c r="C324" s="9"/>
      <c r="D324" s="20"/>
    </row>
    <row r="325">
      <c r="A325" s="27"/>
      <c r="B325" s="28"/>
      <c r="C325" s="9"/>
      <c r="D325" s="20"/>
    </row>
    <row r="326">
      <c r="A326" s="27"/>
      <c r="B326" s="28"/>
      <c r="C326" s="9"/>
      <c r="D326" s="20"/>
    </row>
    <row r="327">
      <c r="A327" s="27"/>
      <c r="B327" s="28"/>
      <c r="C327" s="9"/>
      <c r="D327" s="20"/>
    </row>
    <row r="328">
      <c r="A328" s="27"/>
      <c r="B328" s="28"/>
      <c r="C328" s="9"/>
      <c r="D328" s="20"/>
    </row>
    <row r="329">
      <c r="A329" s="27"/>
      <c r="B329" s="28"/>
      <c r="C329" s="9"/>
      <c r="D329" s="20"/>
    </row>
    <row r="330">
      <c r="A330" s="27"/>
      <c r="B330" s="28"/>
      <c r="C330" s="9"/>
      <c r="D330" s="20"/>
    </row>
    <row r="331">
      <c r="A331" s="27"/>
      <c r="B331" s="28"/>
      <c r="C331" s="9"/>
      <c r="D331" s="20"/>
    </row>
    <row r="332">
      <c r="A332" s="27"/>
      <c r="B332" s="28"/>
      <c r="C332" s="9"/>
      <c r="D332" s="20"/>
    </row>
    <row r="333">
      <c r="A333" s="27"/>
      <c r="B333" s="28"/>
      <c r="C333" s="9"/>
      <c r="D333" s="20"/>
    </row>
    <row r="334">
      <c r="A334" s="27"/>
      <c r="B334" s="28"/>
      <c r="C334" s="9"/>
      <c r="D334" s="20"/>
    </row>
    <row r="335">
      <c r="A335" s="27"/>
      <c r="B335" s="28"/>
      <c r="C335" s="9"/>
      <c r="D335" s="20"/>
    </row>
    <row r="336">
      <c r="A336" s="27"/>
      <c r="B336" s="28"/>
      <c r="C336" s="9"/>
      <c r="D336" s="20"/>
    </row>
    <row r="337">
      <c r="A337" s="27"/>
      <c r="B337" s="28"/>
      <c r="C337" s="9"/>
      <c r="D337" s="20"/>
    </row>
    <row r="338">
      <c r="A338" s="27"/>
      <c r="B338" s="28"/>
      <c r="C338" s="9"/>
      <c r="D338" s="20"/>
    </row>
    <row r="339">
      <c r="A339" s="27"/>
      <c r="B339" s="28"/>
      <c r="C339" s="9"/>
      <c r="D339" s="20"/>
    </row>
    <row r="340">
      <c r="A340" s="27"/>
      <c r="B340" s="28"/>
      <c r="C340" s="9"/>
      <c r="D340" s="20"/>
    </row>
    <row r="341">
      <c r="A341" s="27"/>
      <c r="B341" s="28"/>
      <c r="C341" s="9"/>
      <c r="D341" s="20"/>
    </row>
    <row r="342">
      <c r="A342" s="27"/>
      <c r="B342" s="28"/>
      <c r="C342" s="9"/>
      <c r="D342" s="20"/>
    </row>
    <row r="343">
      <c r="A343" s="27"/>
      <c r="B343" s="28"/>
      <c r="C343" s="9"/>
      <c r="D343" s="20"/>
    </row>
    <row r="344">
      <c r="A344" s="27"/>
      <c r="B344" s="28"/>
      <c r="C344" s="9"/>
      <c r="D344" s="20"/>
    </row>
    <row r="345">
      <c r="A345" s="27"/>
      <c r="B345" s="28"/>
      <c r="C345" s="9"/>
      <c r="D345" s="20"/>
    </row>
    <row r="346">
      <c r="A346" s="27"/>
      <c r="B346" s="28"/>
      <c r="C346" s="9"/>
      <c r="D346" s="20"/>
    </row>
    <row r="347">
      <c r="A347" s="27"/>
      <c r="B347" s="28"/>
      <c r="C347" s="9"/>
      <c r="D347" s="20"/>
    </row>
    <row r="348">
      <c r="A348" s="27"/>
      <c r="B348" s="28"/>
      <c r="C348" s="9"/>
      <c r="D348" s="20"/>
    </row>
    <row r="349">
      <c r="A349" s="27"/>
      <c r="B349" s="28"/>
      <c r="C349" s="9"/>
      <c r="D349" s="20"/>
    </row>
    <row r="350">
      <c r="A350" s="27"/>
      <c r="B350" s="28"/>
      <c r="C350" s="9"/>
      <c r="D350" s="20"/>
    </row>
    <row r="351">
      <c r="A351" s="27"/>
      <c r="B351" s="28"/>
      <c r="C351" s="9"/>
      <c r="D351" s="20"/>
    </row>
    <row r="352">
      <c r="A352" s="27"/>
      <c r="B352" s="28"/>
      <c r="C352" s="9"/>
      <c r="D352" s="20"/>
    </row>
    <row r="353">
      <c r="A353" s="27"/>
      <c r="B353" s="28"/>
      <c r="C353" s="9"/>
      <c r="D353" s="20"/>
    </row>
    <row r="354">
      <c r="A354" s="27"/>
      <c r="B354" s="28"/>
      <c r="C354" s="9"/>
      <c r="D354" s="20"/>
    </row>
    <row r="355">
      <c r="A355" s="27"/>
      <c r="B355" s="28"/>
      <c r="C355" s="9"/>
      <c r="D355" s="20"/>
    </row>
    <row r="356">
      <c r="A356" s="27"/>
      <c r="B356" s="28"/>
      <c r="C356" s="9"/>
      <c r="D356" s="20"/>
    </row>
    <row r="357">
      <c r="A357" s="27"/>
      <c r="B357" s="28"/>
      <c r="C357" s="9"/>
      <c r="D357" s="20"/>
    </row>
    <row r="358">
      <c r="A358" s="27"/>
      <c r="B358" s="28"/>
      <c r="C358" s="9"/>
      <c r="D358" s="20"/>
    </row>
    <row r="359">
      <c r="A359" s="27"/>
      <c r="B359" s="28"/>
      <c r="C359" s="9"/>
      <c r="D359" s="20"/>
    </row>
    <row r="360">
      <c r="A360" s="27"/>
      <c r="B360" s="28"/>
      <c r="C360" s="9"/>
      <c r="D360" s="20"/>
    </row>
    <row r="361">
      <c r="A361" s="27"/>
      <c r="B361" s="28"/>
      <c r="C361" s="9"/>
      <c r="D361" s="20"/>
    </row>
    <row r="362">
      <c r="A362" s="27"/>
      <c r="B362" s="28"/>
      <c r="C362" s="9"/>
      <c r="D362" s="20"/>
    </row>
    <row r="363">
      <c r="A363" s="27"/>
      <c r="B363" s="28"/>
      <c r="C363" s="9"/>
      <c r="D363" s="20"/>
    </row>
    <row r="364">
      <c r="A364" s="27"/>
      <c r="B364" s="28"/>
      <c r="C364" s="9"/>
      <c r="D364" s="20"/>
    </row>
    <row r="365">
      <c r="A365" s="27"/>
      <c r="B365" s="28"/>
      <c r="C365" s="9"/>
      <c r="D365" s="20"/>
    </row>
    <row r="366">
      <c r="A366" s="27"/>
      <c r="B366" s="28"/>
      <c r="C366" s="9"/>
      <c r="D366" s="20"/>
    </row>
    <row r="367">
      <c r="A367" s="27"/>
      <c r="B367" s="28"/>
      <c r="C367" s="9"/>
      <c r="D367" s="20"/>
    </row>
    <row r="368">
      <c r="A368" s="27"/>
      <c r="B368" s="28"/>
      <c r="C368" s="9"/>
      <c r="D368" s="20"/>
    </row>
    <row r="369">
      <c r="A369" s="27"/>
      <c r="B369" s="28"/>
      <c r="C369" s="9"/>
      <c r="D369" s="20"/>
    </row>
    <row r="370">
      <c r="A370" s="27"/>
      <c r="B370" s="28"/>
      <c r="C370" s="9"/>
      <c r="D370" s="20"/>
    </row>
    <row r="371">
      <c r="A371" s="27"/>
      <c r="B371" s="28"/>
      <c r="C371" s="9"/>
      <c r="D371" s="20"/>
    </row>
    <row r="372">
      <c r="A372" s="27"/>
      <c r="B372" s="28"/>
      <c r="C372" s="9"/>
      <c r="D372" s="20"/>
    </row>
    <row r="373">
      <c r="A373" s="27"/>
      <c r="B373" s="28"/>
      <c r="C373" s="9"/>
      <c r="D373" s="20"/>
    </row>
    <row r="374">
      <c r="A374" s="27"/>
      <c r="B374" s="28"/>
      <c r="C374" s="9"/>
      <c r="D374" s="20"/>
    </row>
    <row r="375">
      <c r="A375" s="27"/>
      <c r="B375" s="28"/>
      <c r="C375" s="9"/>
      <c r="D375" s="20"/>
    </row>
    <row r="376">
      <c r="A376" s="27"/>
      <c r="B376" s="28"/>
      <c r="C376" s="9"/>
      <c r="D376" s="20"/>
    </row>
    <row r="377">
      <c r="A377" s="27"/>
      <c r="B377" s="28"/>
      <c r="C377" s="9"/>
      <c r="D377" s="20"/>
    </row>
    <row r="378">
      <c r="A378" s="27"/>
      <c r="B378" s="28"/>
      <c r="C378" s="9"/>
      <c r="D378" s="20"/>
    </row>
    <row r="379">
      <c r="A379" s="27"/>
      <c r="B379" s="28"/>
      <c r="C379" s="9"/>
      <c r="D379" s="20"/>
    </row>
    <row r="380">
      <c r="A380" s="27"/>
      <c r="B380" s="28"/>
      <c r="C380" s="9"/>
      <c r="D380" s="20"/>
    </row>
    <row r="381">
      <c r="A381" s="27"/>
      <c r="B381" s="28"/>
      <c r="C381" s="9"/>
      <c r="D381" s="20"/>
    </row>
    <row r="382">
      <c r="A382" s="27"/>
      <c r="B382" s="28"/>
      <c r="C382" s="9"/>
      <c r="D382" s="20"/>
    </row>
    <row r="383">
      <c r="A383" s="27"/>
      <c r="B383" s="28"/>
      <c r="C383" s="9"/>
      <c r="D383" s="20"/>
    </row>
    <row r="384">
      <c r="A384" s="27"/>
      <c r="B384" s="28"/>
      <c r="C384" s="9"/>
      <c r="D384" s="20"/>
    </row>
    <row r="385">
      <c r="A385" s="27"/>
      <c r="B385" s="28"/>
      <c r="C385" s="9"/>
      <c r="D385" s="20"/>
    </row>
    <row r="386">
      <c r="A386" s="27"/>
      <c r="B386" s="28"/>
      <c r="C386" s="9"/>
      <c r="D386" s="20"/>
    </row>
    <row r="387">
      <c r="A387" s="27"/>
      <c r="B387" s="28"/>
      <c r="C387" s="9"/>
      <c r="D387" s="20"/>
    </row>
    <row r="388">
      <c r="A388" s="27"/>
      <c r="B388" s="28"/>
      <c r="C388" s="9"/>
      <c r="D388" s="20"/>
    </row>
    <row r="389">
      <c r="A389" s="27"/>
      <c r="B389" s="28"/>
      <c r="C389" s="9"/>
      <c r="D389" s="20"/>
    </row>
    <row r="390">
      <c r="A390" s="27"/>
      <c r="B390" s="28"/>
      <c r="C390" s="9"/>
      <c r="D390" s="20"/>
    </row>
    <row r="391">
      <c r="A391" s="27"/>
      <c r="B391" s="28"/>
      <c r="C391" s="9"/>
      <c r="D391" s="20"/>
    </row>
    <row r="392">
      <c r="A392" s="27"/>
      <c r="B392" s="28"/>
      <c r="C392" s="9"/>
      <c r="D392" s="20"/>
    </row>
    <row r="393">
      <c r="A393" s="27"/>
      <c r="B393" s="28"/>
      <c r="C393" s="9"/>
      <c r="D393" s="20"/>
    </row>
    <row r="394">
      <c r="A394" s="27"/>
      <c r="B394" s="28"/>
      <c r="C394" s="9"/>
      <c r="D394" s="20"/>
    </row>
    <row r="395">
      <c r="A395" s="27"/>
      <c r="B395" s="28"/>
      <c r="C395" s="9"/>
      <c r="D395" s="20"/>
    </row>
    <row r="396">
      <c r="A396" s="27"/>
      <c r="B396" s="28"/>
      <c r="C396" s="9"/>
      <c r="D396" s="20"/>
    </row>
    <row r="397">
      <c r="A397" s="27"/>
      <c r="B397" s="28"/>
      <c r="C397" s="9"/>
      <c r="D397" s="20"/>
    </row>
    <row r="398">
      <c r="A398" s="27"/>
      <c r="B398" s="28"/>
      <c r="C398" s="9"/>
      <c r="D398" s="20"/>
    </row>
    <row r="399">
      <c r="A399" s="27"/>
      <c r="B399" s="28"/>
      <c r="C399" s="9"/>
      <c r="D399" s="20"/>
    </row>
    <row r="400">
      <c r="A400" s="27"/>
      <c r="B400" s="28"/>
      <c r="C400" s="9"/>
      <c r="D400" s="20"/>
    </row>
    <row r="401">
      <c r="A401" s="27"/>
      <c r="B401" s="28"/>
      <c r="C401" s="9"/>
      <c r="D401" s="20"/>
    </row>
    <row r="402">
      <c r="A402" s="27"/>
      <c r="B402" s="28"/>
      <c r="C402" s="9"/>
      <c r="D402" s="20"/>
    </row>
    <row r="403">
      <c r="A403" s="27"/>
      <c r="B403" s="28"/>
      <c r="C403" s="9"/>
      <c r="D403" s="20"/>
    </row>
    <row r="404">
      <c r="A404" s="27"/>
      <c r="B404" s="28"/>
      <c r="C404" s="9"/>
      <c r="D404" s="20"/>
    </row>
    <row r="405">
      <c r="A405" s="27"/>
      <c r="B405" s="28"/>
      <c r="C405" s="9"/>
      <c r="D405" s="20"/>
    </row>
    <row r="406">
      <c r="A406" s="27"/>
      <c r="B406" s="28"/>
      <c r="C406" s="9"/>
      <c r="D406" s="20"/>
    </row>
    <row r="407">
      <c r="A407" s="27"/>
      <c r="B407" s="28"/>
      <c r="C407" s="9"/>
      <c r="D407" s="20"/>
    </row>
    <row r="408">
      <c r="A408" s="27"/>
      <c r="B408" s="28"/>
      <c r="C408" s="9"/>
      <c r="D408" s="20"/>
    </row>
    <row r="409">
      <c r="A409" s="27"/>
      <c r="B409" s="28"/>
      <c r="C409" s="9"/>
      <c r="D409" s="20"/>
    </row>
    <row r="410">
      <c r="A410" s="27"/>
      <c r="B410" s="28"/>
      <c r="C410" s="9"/>
      <c r="D410" s="20"/>
    </row>
    <row r="411">
      <c r="A411" s="27"/>
      <c r="B411" s="28"/>
      <c r="C411" s="9"/>
      <c r="D411" s="20"/>
    </row>
    <row r="412">
      <c r="A412" s="27"/>
      <c r="B412" s="28"/>
      <c r="C412" s="9"/>
      <c r="D412" s="20"/>
    </row>
    <row r="413">
      <c r="A413" s="27"/>
      <c r="B413" s="28"/>
      <c r="C413" s="9"/>
      <c r="D413" s="20"/>
    </row>
    <row r="414">
      <c r="A414" s="27"/>
      <c r="B414" s="28"/>
      <c r="C414" s="9"/>
      <c r="D414" s="20"/>
    </row>
    <row r="415">
      <c r="A415" s="27"/>
      <c r="B415" s="28"/>
      <c r="C415" s="9"/>
      <c r="D415" s="20"/>
    </row>
    <row r="416">
      <c r="A416" s="27"/>
      <c r="B416" s="28"/>
      <c r="C416" s="9"/>
      <c r="D416" s="20"/>
    </row>
    <row r="417">
      <c r="A417" s="27"/>
      <c r="B417" s="28"/>
      <c r="C417" s="9"/>
      <c r="D417" s="20"/>
    </row>
    <row r="418">
      <c r="A418" s="27"/>
      <c r="B418" s="28"/>
      <c r="C418" s="9"/>
      <c r="D418" s="20"/>
    </row>
    <row r="419">
      <c r="A419" s="27"/>
      <c r="B419" s="28"/>
      <c r="C419" s="9"/>
      <c r="D419" s="20"/>
    </row>
    <row r="420">
      <c r="A420" s="27"/>
      <c r="B420" s="28"/>
      <c r="C420" s="9"/>
      <c r="D420" s="20"/>
    </row>
    <row r="421">
      <c r="A421" s="27"/>
      <c r="B421" s="28"/>
      <c r="C421" s="9"/>
      <c r="D421" s="20"/>
    </row>
    <row r="422">
      <c r="A422" s="27"/>
      <c r="B422" s="28"/>
      <c r="C422" s="9"/>
      <c r="D422" s="20"/>
    </row>
    <row r="423">
      <c r="A423" s="27"/>
      <c r="B423" s="28"/>
      <c r="C423" s="9"/>
      <c r="D423" s="20"/>
    </row>
    <row r="424">
      <c r="A424" s="27"/>
      <c r="B424" s="28"/>
      <c r="C424" s="9"/>
      <c r="D424" s="20"/>
    </row>
    <row r="425">
      <c r="A425" s="27"/>
      <c r="B425" s="28"/>
      <c r="C425" s="9"/>
      <c r="D425" s="20"/>
    </row>
    <row r="426">
      <c r="A426" s="27"/>
      <c r="B426" s="28"/>
      <c r="C426" s="9"/>
      <c r="D426" s="20"/>
    </row>
    <row r="427">
      <c r="A427" s="27"/>
      <c r="B427" s="28"/>
      <c r="C427" s="9"/>
      <c r="D427" s="20"/>
    </row>
    <row r="428">
      <c r="A428" s="27"/>
      <c r="B428" s="28"/>
      <c r="C428" s="9"/>
      <c r="D428" s="20"/>
    </row>
    <row r="429">
      <c r="A429" s="27"/>
      <c r="B429" s="28"/>
      <c r="C429" s="9"/>
      <c r="D429" s="20"/>
    </row>
    <row r="430">
      <c r="A430" s="27"/>
      <c r="B430" s="28"/>
      <c r="C430" s="9"/>
      <c r="D430" s="20"/>
    </row>
    <row r="431">
      <c r="A431" s="27"/>
      <c r="B431" s="28"/>
      <c r="C431" s="9"/>
      <c r="D431" s="20"/>
    </row>
    <row r="432">
      <c r="A432" s="27"/>
      <c r="B432" s="28"/>
      <c r="C432" s="9"/>
      <c r="D432" s="20"/>
    </row>
    <row r="433">
      <c r="A433" s="27"/>
      <c r="B433" s="28"/>
      <c r="C433" s="9"/>
      <c r="D433" s="20"/>
    </row>
    <row r="434">
      <c r="A434" s="27"/>
      <c r="B434" s="28"/>
      <c r="C434" s="9"/>
      <c r="D434" s="20"/>
    </row>
    <row r="435">
      <c r="A435" s="27"/>
      <c r="B435" s="28"/>
      <c r="C435" s="9"/>
      <c r="D435" s="20"/>
    </row>
    <row r="436">
      <c r="A436" s="27"/>
      <c r="B436" s="28"/>
      <c r="C436" s="9"/>
      <c r="D436" s="20"/>
    </row>
    <row r="437">
      <c r="A437" s="27"/>
      <c r="B437" s="28"/>
      <c r="C437" s="9"/>
      <c r="D437" s="20"/>
    </row>
    <row r="438">
      <c r="A438" s="27"/>
      <c r="B438" s="28"/>
      <c r="C438" s="9"/>
      <c r="D438" s="20"/>
    </row>
    <row r="439">
      <c r="A439" s="27"/>
      <c r="B439" s="28"/>
      <c r="C439" s="9"/>
      <c r="D439" s="20"/>
    </row>
    <row r="440">
      <c r="A440" s="27"/>
      <c r="B440" s="28"/>
      <c r="C440" s="9"/>
      <c r="D440" s="20"/>
    </row>
    <row r="441">
      <c r="A441" s="27"/>
      <c r="B441" s="28"/>
      <c r="C441" s="9"/>
      <c r="D441" s="20"/>
    </row>
    <row r="442">
      <c r="A442" s="27"/>
      <c r="B442" s="28"/>
      <c r="C442" s="9"/>
      <c r="D442" s="20"/>
    </row>
    <row r="443">
      <c r="A443" s="27"/>
      <c r="B443" s="28"/>
      <c r="C443" s="9"/>
      <c r="D443" s="20"/>
    </row>
    <row r="444">
      <c r="A444" s="27"/>
      <c r="B444" s="28"/>
      <c r="C444" s="9"/>
      <c r="D444" s="20"/>
    </row>
    <row r="445">
      <c r="A445" s="27"/>
      <c r="B445" s="28"/>
      <c r="C445" s="9"/>
      <c r="D445" s="20"/>
    </row>
    <row r="446">
      <c r="A446" s="27"/>
      <c r="B446" s="28"/>
      <c r="C446" s="9"/>
      <c r="D446" s="20"/>
    </row>
    <row r="447">
      <c r="A447" s="27"/>
      <c r="B447" s="28"/>
      <c r="C447" s="9"/>
      <c r="D447" s="20"/>
    </row>
    <row r="448">
      <c r="A448" s="27"/>
      <c r="B448" s="28"/>
      <c r="C448" s="9"/>
      <c r="D448" s="20"/>
    </row>
    <row r="449">
      <c r="A449" s="27"/>
      <c r="B449" s="28"/>
      <c r="C449" s="9"/>
      <c r="D449" s="20"/>
    </row>
    <row r="450">
      <c r="A450" s="27"/>
      <c r="B450" s="28"/>
      <c r="C450" s="9"/>
      <c r="D450" s="20"/>
    </row>
    <row r="451">
      <c r="A451" s="27"/>
      <c r="B451" s="28"/>
      <c r="C451" s="9"/>
      <c r="D451" s="20"/>
    </row>
    <row r="452">
      <c r="A452" s="27"/>
      <c r="B452" s="28"/>
      <c r="C452" s="9"/>
      <c r="D452" s="20"/>
    </row>
    <row r="453">
      <c r="A453" s="27"/>
      <c r="B453" s="28"/>
      <c r="C453" s="9"/>
      <c r="D453" s="20"/>
    </row>
    <row r="454">
      <c r="A454" s="27"/>
      <c r="B454" s="28"/>
      <c r="C454" s="9"/>
      <c r="D454" s="20"/>
    </row>
    <row r="455">
      <c r="A455" s="27"/>
      <c r="B455" s="28"/>
      <c r="C455" s="9"/>
      <c r="D455" s="20"/>
    </row>
    <row r="456">
      <c r="A456" s="27"/>
      <c r="B456" s="28"/>
      <c r="C456" s="9"/>
      <c r="D456" s="20"/>
    </row>
    <row r="457">
      <c r="A457" s="27"/>
      <c r="B457" s="28"/>
      <c r="C457" s="9"/>
      <c r="D457" s="20"/>
    </row>
    <row r="458">
      <c r="A458" s="27"/>
      <c r="B458" s="28"/>
      <c r="C458" s="9"/>
      <c r="D458" s="20"/>
    </row>
    <row r="459">
      <c r="A459" s="27"/>
      <c r="B459" s="28"/>
      <c r="C459" s="9"/>
      <c r="D459" s="20"/>
    </row>
    <row r="460">
      <c r="A460" s="27"/>
      <c r="B460" s="28"/>
      <c r="C460" s="9"/>
      <c r="D460" s="20"/>
    </row>
    <row r="461">
      <c r="A461" s="27"/>
      <c r="B461" s="28"/>
      <c r="C461" s="9"/>
      <c r="D461" s="20"/>
    </row>
    <row r="462">
      <c r="A462" s="27"/>
      <c r="B462" s="28"/>
      <c r="C462" s="9"/>
      <c r="D462" s="20"/>
    </row>
    <row r="463">
      <c r="A463" s="27"/>
      <c r="B463" s="28"/>
      <c r="C463" s="9"/>
      <c r="D463" s="20"/>
    </row>
    <row r="464">
      <c r="A464" s="27"/>
      <c r="B464" s="28"/>
      <c r="C464" s="9"/>
      <c r="D464" s="20"/>
    </row>
    <row r="465">
      <c r="A465" s="27"/>
      <c r="B465" s="28"/>
      <c r="C465" s="9"/>
      <c r="D465" s="20"/>
    </row>
    <row r="466">
      <c r="A466" s="27"/>
      <c r="B466" s="28"/>
      <c r="C466" s="9"/>
      <c r="D466" s="20"/>
    </row>
    <row r="467">
      <c r="A467" s="27"/>
      <c r="B467" s="28"/>
      <c r="C467" s="9"/>
      <c r="D467" s="20"/>
    </row>
    <row r="468">
      <c r="A468" s="27"/>
      <c r="B468" s="28"/>
      <c r="C468" s="9"/>
      <c r="D468" s="20"/>
    </row>
    <row r="469">
      <c r="A469" s="27"/>
      <c r="B469" s="28"/>
      <c r="C469" s="9"/>
      <c r="D469" s="20"/>
    </row>
    <row r="470">
      <c r="A470" s="27"/>
      <c r="B470" s="28"/>
      <c r="C470" s="9"/>
      <c r="D470" s="20"/>
    </row>
    <row r="471">
      <c r="A471" s="27"/>
      <c r="B471" s="28"/>
      <c r="C471" s="9"/>
      <c r="D471" s="20"/>
    </row>
    <row r="472">
      <c r="A472" s="27"/>
      <c r="B472" s="28"/>
      <c r="C472" s="9"/>
      <c r="D472" s="20"/>
    </row>
    <row r="473">
      <c r="A473" s="27"/>
      <c r="B473" s="28"/>
      <c r="C473" s="9"/>
      <c r="D473" s="20"/>
    </row>
    <row r="474">
      <c r="A474" s="27"/>
      <c r="B474" s="28"/>
      <c r="C474" s="9"/>
      <c r="D474" s="20"/>
    </row>
    <row r="475">
      <c r="A475" s="27"/>
      <c r="B475" s="28"/>
      <c r="C475" s="9"/>
      <c r="D475" s="20"/>
    </row>
    <row r="476">
      <c r="A476" s="27"/>
      <c r="B476" s="28"/>
      <c r="C476" s="9"/>
      <c r="D476" s="20"/>
    </row>
    <row r="477">
      <c r="A477" s="27"/>
      <c r="B477" s="28"/>
      <c r="C477" s="9"/>
      <c r="D477" s="20"/>
    </row>
    <row r="478">
      <c r="A478" s="27"/>
      <c r="B478" s="28"/>
      <c r="C478" s="9"/>
      <c r="D478" s="20"/>
    </row>
    <row r="479">
      <c r="A479" s="27"/>
      <c r="B479" s="28"/>
      <c r="C479" s="9"/>
      <c r="D479" s="20"/>
    </row>
    <row r="480">
      <c r="A480" s="27"/>
      <c r="B480" s="28"/>
      <c r="C480" s="9"/>
      <c r="D480" s="20"/>
    </row>
    <row r="481">
      <c r="A481" s="27"/>
      <c r="B481" s="28"/>
      <c r="C481" s="9"/>
      <c r="D481" s="20"/>
    </row>
    <row r="482">
      <c r="A482" s="27"/>
      <c r="B482" s="28"/>
      <c r="C482" s="9"/>
      <c r="D482" s="20"/>
    </row>
    <row r="483">
      <c r="A483" s="27"/>
      <c r="B483" s="28"/>
      <c r="C483" s="9"/>
      <c r="D483" s="20"/>
    </row>
    <row r="484">
      <c r="A484" s="27"/>
      <c r="B484" s="28"/>
      <c r="C484" s="9"/>
      <c r="D484" s="20"/>
    </row>
    <row r="485">
      <c r="A485" s="27"/>
      <c r="B485" s="28"/>
      <c r="C485" s="9"/>
      <c r="D485" s="20"/>
    </row>
    <row r="486">
      <c r="A486" s="27"/>
      <c r="B486" s="28"/>
      <c r="C486" s="9"/>
      <c r="D486" s="20"/>
    </row>
    <row r="487">
      <c r="A487" s="27"/>
      <c r="B487" s="28"/>
      <c r="C487" s="9"/>
      <c r="D487" s="20"/>
    </row>
    <row r="488">
      <c r="A488" s="27"/>
      <c r="B488" s="28"/>
      <c r="C488" s="9"/>
      <c r="D488" s="20"/>
    </row>
    <row r="489">
      <c r="A489" s="27"/>
      <c r="B489" s="28"/>
      <c r="C489" s="9"/>
      <c r="D489" s="20"/>
    </row>
    <row r="490">
      <c r="A490" s="27"/>
      <c r="B490" s="28"/>
      <c r="C490" s="9"/>
      <c r="D490" s="20"/>
    </row>
    <row r="491">
      <c r="A491" s="27"/>
      <c r="B491" s="28"/>
      <c r="C491" s="9"/>
      <c r="D491" s="20"/>
    </row>
    <row r="492">
      <c r="A492" s="27"/>
      <c r="B492" s="28"/>
      <c r="C492" s="9"/>
      <c r="D492" s="20"/>
    </row>
    <row r="493">
      <c r="A493" s="27"/>
      <c r="B493" s="28"/>
      <c r="C493" s="9"/>
      <c r="D493" s="20"/>
    </row>
    <row r="494">
      <c r="A494" s="27"/>
      <c r="B494" s="28"/>
      <c r="C494" s="9"/>
      <c r="D494" s="20"/>
    </row>
    <row r="495">
      <c r="A495" s="27"/>
      <c r="B495" s="28"/>
      <c r="C495" s="9"/>
      <c r="D495" s="20"/>
    </row>
    <row r="496">
      <c r="A496" s="27"/>
      <c r="B496" s="28"/>
      <c r="C496" s="9"/>
      <c r="D496" s="20"/>
    </row>
    <row r="497">
      <c r="A497" s="27"/>
      <c r="B497" s="28"/>
      <c r="C497" s="9"/>
      <c r="D497" s="20"/>
    </row>
    <row r="498">
      <c r="A498" s="27"/>
      <c r="B498" s="28"/>
      <c r="C498" s="9"/>
      <c r="D498" s="20"/>
    </row>
    <row r="499">
      <c r="A499" s="27"/>
      <c r="B499" s="28"/>
      <c r="C499" s="9"/>
      <c r="D499" s="20"/>
    </row>
    <row r="500">
      <c r="A500" s="27"/>
      <c r="B500" s="28"/>
      <c r="C500" s="9"/>
      <c r="D500" s="20"/>
    </row>
    <row r="501">
      <c r="A501" s="27"/>
      <c r="B501" s="28"/>
      <c r="C501" s="9"/>
      <c r="D501" s="20"/>
    </row>
    <row r="502">
      <c r="A502" s="27"/>
      <c r="B502" s="28"/>
      <c r="C502" s="9"/>
      <c r="D502" s="20"/>
    </row>
    <row r="503">
      <c r="A503" s="27"/>
      <c r="B503" s="28"/>
      <c r="C503" s="9"/>
      <c r="D503" s="20"/>
    </row>
    <row r="504">
      <c r="A504" s="27"/>
      <c r="B504" s="28"/>
      <c r="C504" s="9"/>
      <c r="D504" s="20"/>
    </row>
    <row r="505">
      <c r="A505" s="27"/>
      <c r="B505" s="28"/>
      <c r="C505" s="9"/>
      <c r="D505" s="20"/>
    </row>
    <row r="506">
      <c r="A506" s="27"/>
      <c r="B506" s="28"/>
      <c r="C506" s="9"/>
      <c r="D506" s="20"/>
    </row>
    <row r="507">
      <c r="A507" s="27"/>
      <c r="B507" s="28"/>
      <c r="C507" s="9"/>
      <c r="D507" s="20"/>
    </row>
    <row r="508">
      <c r="A508" s="27"/>
      <c r="B508" s="28"/>
      <c r="C508" s="9"/>
      <c r="D508" s="20"/>
    </row>
    <row r="509">
      <c r="A509" s="27"/>
      <c r="B509" s="28"/>
      <c r="C509" s="9"/>
      <c r="D509" s="20"/>
    </row>
    <row r="510">
      <c r="A510" s="27"/>
      <c r="B510" s="28"/>
      <c r="C510" s="9"/>
      <c r="D510" s="20"/>
    </row>
    <row r="511">
      <c r="A511" s="27"/>
      <c r="B511" s="28"/>
      <c r="C511" s="9"/>
      <c r="D511" s="20"/>
    </row>
    <row r="512">
      <c r="A512" s="27"/>
      <c r="B512" s="28"/>
      <c r="C512" s="9"/>
      <c r="D512" s="20"/>
    </row>
    <row r="513">
      <c r="A513" s="27"/>
      <c r="B513" s="28"/>
      <c r="C513" s="9"/>
      <c r="D513" s="20"/>
    </row>
    <row r="514">
      <c r="A514" s="27"/>
      <c r="B514" s="28"/>
      <c r="C514" s="9"/>
      <c r="D514" s="20"/>
    </row>
    <row r="515">
      <c r="A515" s="27"/>
      <c r="B515" s="28"/>
      <c r="C515" s="9"/>
      <c r="D515" s="20"/>
    </row>
    <row r="516">
      <c r="A516" s="27"/>
      <c r="B516" s="28"/>
      <c r="C516" s="9"/>
      <c r="D516" s="20"/>
    </row>
    <row r="517">
      <c r="A517" s="27"/>
      <c r="B517" s="28"/>
      <c r="C517" s="9"/>
      <c r="D517" s="20"/>
    </row>
    <row r="518">
      <c r="A518" s="27"/>
      <c r="B518" s="28"/>
      <c r="C518" s="9"/>
      <c r="D518" s="20"/>
    </row>
    <row r="519">
      <c r="A519" s="27"/>
      <c r="B519" s="28"/>
      <c r="C519" s="9"/>
      <c r="D519" s="20"/>
    </row>
    <row r="520">
      <c r="A520" s="27"/>
      <c r="B520" s="28"/>
      <c r="C520" s="9"/>
      <c r="D520" s="20"/>
    </row>
    <row r="521">
      <c r="A521" s="27"/>
      <c r="B521" s="28"/>
      <c r="C521" s="9"/>
      <c r="D521" s="20"/>
    </row>
    <row r="522">
      <c r="A522" s="27"/>
      <c r="B522" s="28"/>
      <c r="C522" s="9"/>
      <c r="D522" s="20"/>
    </row>
    <row r="523">
      <c r="A523" s="27"/>
      <c r="B523" s="28"/>
      <c r="C523" s="9"/>
      <c r="D523" s="20"/>
    </row>
    <row r="524">
      <c r="A524" s="27"/>
      <c r="B524" s="28"/>
      <c r="C524" s="9"/>
      <c r="D524" s="20"/>
    </row>
    <row r="525">
      <c r="A525" s="27"/>
      <c r="B525" s="28"/>
      <c r="C525" s="9"/>
      <c r="D525" s="20"/>
    </row>
    <row r="526">
      <c r="A526" s="27"/>
      <c r="B526" s="28"/>
      <c r="C526" s="9"/>
      <c r="D526" s="20"/>
    </row>
    <row r="527">
      <c r="A527" s="27"/>
      <c r="B527" s="28"/>
      <c r="C527" s="9"/>
      <c r="D527" s="20"/>
    </row>
    <row r="528">
      <c r="A528" s="27"/>
      <c r="B528" s="28"/>
      <c r="C528" s="9"/>
      <c r="D528" s="20"/>
    </row>
    <row r="529">
      <c r="A529" s="27"/>
      <c r="B529" s="28"/>
      <c r="C529" s="9"/>
      <c r="D529" s="20"/>
    </row>
    <row r="530">
      <c r="A530" s="27"/>
      <c r="B530" s="28"/>
      <c r="C530" s="9"/>
      <c r="D530" s="20"/>
    </row>
    <row r="531">
      <c r="A531" s="27"/>
      <c r="B531" s="28"/>
      <c r="C531" s="9"/>
      <c r="D531" s="20"/>
    </row>
    <row r="532">
      <c r="A532" s="27"/>
      <c r="B532" s="28"/>
      <c r="C532" s="9"/>
      <c r="D532" s="20"/>
    </row>
    <row r="533">
      <c r="A533" s="27"/>
      <c r="B533" s="28"/>
      <c r="C533" s="9"/>
      <c r="D533" s="20"/>
    </row>
    <row r="534">
      <c r="A534" s="27"/>
      <c r="B534" s="28"/>
      <c r="C534" s="9"/>
      <c r="D534" s="20"/>
    </row>
    <row r="535">
      <c r="A535" s="27"/>
      <c r="B535" s="28"/>
      <c r="C535" s="9"/>
      <c r="D535" s="20"/>
    </row>
    <row r="536">
      <c r="A536" s="27"/>
      <c r="B536" s="28"/>
      <c r="C536" s="9"/>
      <c r="D536" s="20"/>
    </row>
    <row r="537">
      <c r="A537" s="27"/>
      <c r="B537" s="28"/>
      <c r="C537" s="9"/>
      <c r="D537" s="20"/>
    </row>
    <row r="538">
      <c r="A538" s="27"/>
      <c r="B538" s="28"/>
      <c r="C538" s="9"/>
      <c r="D538" s="20"/>
    </row>
    <row r="539">
      <c r="A539" s="27"/>
      <c r="B539" s="28"/>
      <c r="C539" s="9"/>
      <c r="D539" s="20"/>
    </row>
    <row r="540">
      <c r="A540" s="27"/>
      <c r="B540" s="28"/>
      <c r="C540" s="9"/>
      <c r="D540" s="20"/>
    </row>
    <row r="541">
      <c r="A541" s="27"/>
      <c r="B541" s="28"/>
      <c r="C541" s="9"/>
      <c r="D541" s="20"/>
    </row>
    <row r="542">
      <c r="A542" s="27"/>
      <c r="B542" s="28"/>
      <c r="C542" s="9"/>
      <c r="D542" s="20"/>
    </row>
    <row r="543">
      <c r="A543" s="27"/>
      <c r="B543" s="28"/>
      <c r="C543" s="9"/>
      <c r="D543" s="20"/>
    </row>
    <row r="544">
      <c r="A544" s="27"/>
      <c r="B544" s="28"/>
      <c r="C544" s="9"/>
      <c r="D544" s="20"/>
    </row>
    <row r="545">
      <c r="A545" s="27"/>
      <c r="B545" s="28"/>
      <c r="C545" s="9"/>
      <c r="D545" s="20"/>
    </row>
    <row r="546">
      <c r="A546" s="27"/>
      <c r="B546" s="28"/>
      <c r="C546" s="9"/>
      <c r="D546" s="20"/>
    </row>
    <row r="547">
      <c r="A547" s="27"/>
      <c r="B547" s="28"/>
      <c r="C547" s="9"/>
      <c r="D547" s="20"/>
    </row>
    <row r="548">
      <c r="A548" s="27"/>
      <c r="B548" s="28"/>
      <c r="C548" s="9"/>
      <c r="D548" s="20"/>
    </row>
    <row r="549">
      <c r="A549" s="27"/>
      <c r="B549" s="28"/>
      <c r="C549" s="9"/>
      <c r="D549" s="20"/>
    </row>
    <row r="550">
      <c r="A550" s="27"/>
      <c r="B550" s="28"/>
      <c r="C550" s="9"/>
      <c r="D550" s="20"/>
    </row>
    <row r="551">
      <c r="A551" s="27"/>
      <c r="B551" s="28"/>
      <c r="C551" s="9"/>
      <c r="D551" s="20"/>
    </row>
    <row r="552">
      <c r="A552" s="27"/>
      <c r="B552" s="28"/>
      <c r="C552" s="9"/>
      <c r="D552" s="20"/>
    </row>
    <row r="553">
      <c r="A553" s="27"/>
      <c r="B553" s="28"/>
      <c r="C553" s="9"/>
      <c r="D553" s="20"/>
    </row>
    <row r="554">
      <c r="A554" s="27"/>
      <c r="B554" s="28"/>
      <c r="C554" s="9"/>
      <c r="D554" s="20"/>
    </row>
    <row r="555">
      <c r="A555" s="27"/>
      <c r="B555" s="28"/>
      <c r="C555" s="9"/>
      <c r="D555" s="20"/>
    </row>
    <row r="556">
      <c r="A556" s="27"/>
      <c r="B556" s="28"/>
      <c r="C556" s="9"/>
      <c r="D556" s="20"/>
    </row>
    <row r="557">
      <c r="A557" s="27"/>
      <c r="B557" s="28"/>
      <c r="C557" s="9"/>
      <c r="D557" s="20"/>
    </row>
    <row r="558">
      <c r="A558" s="27"/>
      <c r="B558" s="28"/>
      <c r="C558" s="9"/>
      <c r="D558" s="20"/>
    </row>
    <row r="559">
      <c r="A559" s="27"/>
      <c r="B559" s="28"/>
      <c r="C559" s="9"/>
      <c r="D559" s="20"/>
    </row>
    <row r="560">
      <c r="A560" s="27"/>
      <c r="B560" s="28"/>
      <c r="C560" s="9"/>
      <c r="D560" s="20"/>
    </row>
    <row r="561">
      <c r="A561" s="27"/>
      <c r="B561" s="28"/>
      <c r="C561" s="9"/>
      <c r="D561" s="20"/>
    </row>
    <row r="562">
      <c r="A562" s="27"/>
      <c r="B562" s="28"/>
      <c r="C562" s="9"/>
      <c r="D562" s="20"/>
    </row>
    <row r="563">
      <c r="A563" s="27"/>
      <c r="B563" s="28"/>
      <c r="C563" s="9"/>
      <c r="D563" s="20"/>
    </row>
    <row r="564">
      <c r="A564" s="27"/>
      <c r="B564" s="28"/>
      <c r="C564" s="9"/>
      <c r="D564" s="20"/>
    </row>
    <row r="565">
      <c r="A565" s="27"/>
      <c r="B565" s="28"/>
      <c r="C565" s="9"/>
      <c r="D565" s="20"/>
    </row>
    <row r="566">
      <c r="A566" s="27"/>
      <c r="B566" s="28"/>
      <c r="C566" s="9"/>
      <c r="D566" s="20"/>
    </row>
    <row r="567">
      <c r="A567" s="27"/>
      <c r="B567" s="28"/>
      <c r="C567" s="9"/>
      <c r="D567" s="20"/>
    </row>
    <row r="568">
      <c r="A568" s="27"/>
      <c r="B568" s="28"/>
      <c r="C568" s="9"/>
      <c r="D568" s="20"/>
    </row>
    <row r="569">
      <c r="A569" s="27"/>
      <c r="B569" s="28"/>
      <c r="C569" s="9"/>
      <c r="D569" s="20"/>
    </row>
    <row r="570">
      <c r="A570" s="27"/>
      <c r="B570" s="28"/>
      <c r="C570" s="9"/>
      <c r="D570" s="20"/>
    </row>
    <row r="571">
      <c r="A571" s="27"/>
      <c r="B571" s="28"/>
      <c r="C571" s="9"/>
      <c r="D571" s="20"/>
    </row>
    <row r="572">
      <c r="A572" s="27"/>
      <c r="B572" s="28"/>
      <c r="C572" s="9"/>
      <c r="D572" s="20"/>
    </row>
    <row r="573">
      <c r="A573" s="27"/>
      <c r="B573" s="28"/>
      <c r="C573" s="9"/>
      <c r="D573" s="20"/>
    </row>
    <row r="574">
      <c r="A574" s="27"/>
      <c r="B574" s="28"/>
      <c r="C574" s="9"/>
      <c r="D574" s="20"/>
    </row>
    <row r="575">
      <c r="A575" s="27"/>
      <c r="B575" s="28"/>
      <c r="C575" s="9"/>
      <c r="D575" s="20"/>
    </row>
    <row r="576">
      <c r="A576" s="27"/>
      <c r="B576" s="28"/>
      <c r="C576" s="9"/>
      <c r="D576" s="20"/>
    </row>
    <row r="577">
      <c r="A577" s="27"/>
      <c r="B577" s="28"/>
      <c r="C577" s="9"/>
      <c r="D577" s="20"/>
    </row>
    <row r="578">
      <c r="A578" s="27"/>
      <c r="B578" s="28"/>
      <c r="C578" s="9"/>
      <c r="D578" s="20"/>
    </row>
    <row r="579">
      <c r="A579" s="27"/>
      <c r="B579" s="28"/>
      <c r="C579" s="9"/>
      <c r="D579" s="20"/>
    </row>
    <row r="580">
      <c r="A580" s="27"/>
      <c r="B580" s="28"/>
      <c r="C580" s="9"/>
      <c r="D580" s="20"/>
    </row>
    <row r="581">
      <c r="A581" s="27"/>
      <c r="B581" s="28"/>
      <c r="C581" s="9"/>
      <c r="D581" s="20"/>
    </row>
    <row r="582">
      <c r="A582" s="27"/>
      <c r="B582" s="28"/>
      <c r="C582" s="9"/>
      <c r="D582" s="20"/>
    </row>
    <row r="583">
      <c r="A583" s="27"/>
      <c r="B583" s="28"/>
      <c r="C583" s="9"/>
      <c r="D583" s="20"/>
    </row>
    <row r="584">
      <c r="A584" s="27"/>
      <c r="B584" s="28"/>
      <c r="C584" s="9"/>
      <c r="D584" s="20"/>
    </row>
    <row r="585">
      <c r="A585" s="27"/>
      <c r="B585" s="28"/>
      <c r="C585" s="9"/>
      <c r="D585" s="20"/>
    </row>
    <row r="586">
      <c r="A586" s="27"/>
      <c r="B586" s="28"/>
      <c r="C586" s="9"/>
      <c r="D586" s="20"/>
    </row>
    <row r="587">
      <c r="A587" s="27"/>
      <c r="B587" s="28"/>
      <c r="C587" s="9"/>
      <c r="D587" s="20"/>
    </row>
    <row r="588">
      <c r="A588" s="27"/>
      <c r="B588" s="28"/>
      <c r="C588" s="9"/>
      <c r="D588" s="20"/>
    </row>
    <row r="589">
      <c r="A589" s="27"/>
      <c r="B589" s="28"/>
      <c r="C589" s="9"/>
      <c r="D589" s="20"/>
    </row>
    <row r="590">
      <c r="A590" s="27"/>
      <c r="B590" s="28"/>
      <c r="C590" s="9"/>
      <c r="D590" s="20"/>
    </row>
    <row r="591">
      <c r="A591" s="27"/>
      <c r="B591" s="28"/>
      <c r="C591" s="9"/>
      <c r="D591" s="20"/>
    </row>
    <row r="592">
      <c r="A592" s="27"/>
      <c r="B592" s="28"/>
      <c r="C592" s="9"/>
      <c r="D592" s="20"/>
    </row>
    <row r="593">
      <c r="A593" s="27"/>
      <c r="B593" s="28"/>
      <c r="C593" s="9"/>
      <c r="D593" s="20"/>
    </row>
    <row r="594">
      <c r="A594" s="27"/>
      <c r="B594" s="28"/>
      <c r="C594" s="9"/>
      <c r="D594" s="20"/>
    </row>
    <row r="595">
      <c r="A595" s="27"/>
      <c r="B595" s="28"/>
      <c r="C595" s="9"/>
      <c r="D595" s="20"/>
    </row>
    <row r="596">
      <c r="A596" s="27"/>
      <c r="B596" s="28"/>
      <c r="C596" s="9"/>
      <c r="D596" s="20"/>
    </row>
    <row r="597">
      <c r="A597" s="27"/>
      <c r="B597" s="28"/>
      <c r="C597" s="9"/>
      <c r="D597" s="20"/>
    </row>
    <row r="598">
      <c r="A598" s="27"/>
      <c r="B598" s="28"/>
      <c r="C598" s="9"/>
      <c r="D598" s="20"/>
    </row>
    <row r="599">
      <c r="A599" s="27"/>
      <c r="B599" s="28"/>
      <c r="C599" s="9"/>
      <c r="D599" s="20"/>
    </row>
    <row r="600">
      <c r="A600" s="27"/>
      <c r="B600" s="28"/>
      <c r="C600" s="9"/>
      <c r="D600" s="20"/>
    </row>
    <row r="601">
      <c r="A601" s="27"/>
      <c r="B601" s="28"/>
      <c r="C601" s="9"/>
      <c r="D601" s="20"/>
    </row>
    <row r="602">
      <c r="A602" s="27"/>
      <c r="B602" s="28"/>
      <c r="C602" s="9"/>
      <c r="D602" s="20"/>
    </row>
    <row r="603">
      <c r="A603" s="27"/>
      <c r="B603" s="28"/>
      <c r="C603" s="9"/>
      <c r="D603" s="20"/>
    </row>
    <row r="604">
      <c r="A604" s="27"/>
      <c r="B604" s="28"/>
      <c r="C604" s="9"/>
      <c r="D604" s="20"/>
    </row>
    <row r="605">
      <c r="A605" s="27"/>
      <c r="B605" s="28"/>
      <c r="C605" s="9"/>
      <c r="D605" s="20"/>
    </row>
    <row r="606">
      <c r="A606" s="27"/>
      <c r="B606" s="28"/>
      <c r="C606" s="9"/>
      <c r="D606" s="20"/>
    </row>
    <row r="607">
      <c r="A607" s="27"/>
      <c r="B607" s="28"/>
      <c r="C607" s="9"/>
      <c r="D607" s="20"/>
    </row>
    <row r="608">
      <c r="A608" s="27"/>
      <c r="B608" s="28"/>
      <c r="C608" s="9"/>
      <c r="D608" s="20"/>
    </row>
    <row r="609">
      <c r="A609" s="27"/>
      <c r="B609" s="28"/>
      <c r="C609" s="9"/>
      <c r="D609" s="20"/>
    </row>
    <row r="610">
      <c r="A610" s="27"/>
      <c r="B610" s="28"/>
      <c r="C610" s="9"/>
      <c r="D610" s="20"/>
    </row>
    <row r="611">
      <c r="A611" s="27"/>
      <c r="B611" s="28"/>
      <c r="C611" s="9"/>
      <c r="D611" s="20"/>
    </row>
    <row r="612">
      <c r="A612" s="27"/>
      <c r="B612" s="28"/>
      <c r="C612" s="9"/>
      <c r="D612" s="20"/>
    </row>
    <row r="613">
      <c r="A613" s="27"/>
      <c r="B613" s="28"/>
      <c r="C613" s="9"/>
      <c r="D613" s="20"/>
    </row>
    <row r="614">
      <c r="A614" s="27"/>
      <c r="B614" s="28"/>
      <c r="C614" s="9"/>
      <c r="D614" s="20"/>
    </row>
    <row r="615">
      <c r="A615" s="27"/>
      <c r="B615" s="28"/>
      <c r="C615" s="9"/>
      <c r="D615" s="20"/>
    </row>
    <row r="616">
      <c r="A616" s="27"/>
      <c r="B616" s="28"/>
      <c r="C616" s="9"/>
      <c r="D616" s="20"/>
    </row>
    <row r="617">
      <c r="A617" s="27"/>
      <c r="B617" s="28"/>
      <c r="C617" s="9"/>
      <c r="D617" s="20"/>
    </row>
    <row r="618">
      <c r="A618" s="27"/>
      <c r="B618" s="28"/>
      <c r="C618" s="9"/>
      <c r="D618" s="20"/>
    </row>
    <row r="619">
      <c r="A619" s="27"/>
      <c r="B619" s="28"/>
      <c r="C619" s="9"/>
      <c r="D619" s="20"/>
    </row>
    <row r="620">
      <c r="A620" s="27"/>
      <c r="B620" s="28"/>
      <c r="C620" s="9"/>
      <c r="D620" s="20"/>
    </row>
    <row r="621">
      <c r="A621" s="27"/>
      <c r="B621" s="28"/>
      <c r="C621" s="9"/>
      <c r="D621" s="20"/>
    </row>
    <row r="622">
      <c r="A622" s="27"/>
      <c r="B622" s="28"/>
      <c r="C622" s="9"/>
      <c r="D622" s="20"/>
    </row>
    <row r="623">
      <c r="A623" s="27"/>
      <c r="B623" s="28"/>
      <c r="C623" s="9"/>
      <c r="D623" s="20"/>
    </row>
    <row r="624">
      <c r="A624" s="27"/>
      <c r="B624" s="28"/>
      <c r="C624" s="9"/>
      <c r="D624" s="20"/>
    </row>
    <row r="625">
      <c r="A625" s="27"/>
      <c r="B625" s="28"/>
      <c r="C625" s="9"/>
      <c r="D625" s="20"/>
    </row>
    <row r="626">
      <c r="A626" s="27"/>
      <c r="B626" s="28"/>
      <c r="C626" s="9"/>
      <c r="D626" s="20"/>
    </row>
    <row r="627">
      <c r="A627" s="27"/>
      <c r="B627" s="28"/>
      <c r="C627" s="9"/>
      <c r="D627" s="20"/>
    </row>
    <row r="628">
      <c r="A628" s="27"/>
      <c r="B628" s="28"/>
      <c r="C628" s="9"/>
      <c r="D628" s="20"/>
    </row>
    <row r="629">
      <c r="A629" s="27"/>
      <c r="B629" s="28"/>
      <c r="C629" s="9"/>
      <c r="D629" s="20"/>
    </row>
    <row r="630">
      <c r="A630" s="27"/>
      <c r="B630" s="28"/>
      <c r="C630" s="9"/>
      <c r="D630" s="20"/>
    </row>
    <row r="631">
      <c r="A631" s="27"/>
      <c r="B631" s="28"/>
      <c r="C631" s="9"/>
      <c r="D631" s="20"/>
    </row>
    <row r="632">
      <c r="A632" s="27"/>
      <c r="B632" s="28"/>
      <c r="C632" s="9"/>
      <c r="D632" s="20"/>
    </row>
    <row r="633">
      <c r="A633" s="27"/>
      <c r="B633" s="28"/>
      <c r="C633" s="9"/>
      <c r="D633" s="20"/>
    </row>
    <row r="634">
      <c r="A634" s="27"/>
      <c r="B634" s="28"/>
      <c r="C634" s="9"/>
      <c r="D634" s="20"/>
    </row>
    <row r="635">
      <c r="A635" s="27"/>
      <c r="B635" s="28"/>
      <c r="C635" s="9"/>
      <c r="D635" s="20"/>
    </row>
    <row r="636">
      <c r="A636" s="27"/>
      <c r="B636" s="28"/>
      <c r="C636" s="9"/>
      <c r="D636" s="20"/>
    </row>
    <row r="637">
      <c r="A637" s="27"/>
      <c r="B637" s="28"/>
      <c r="C637" s="9"/>
      <c r="D637" s="20"/>
    </row>
    <row r="638">
      <c r="A638" s="27"/>
      <c r="B638" s="28"/>
      <c r="C638" s="9"/>
      <c r="D638" s="20"/>
    </row>
    <row r="639">
      <c r="A639" s="27"/>
      <c r="B639" s="28"/>
      <c r="C639" s="9"/>
      <c r="D639" s="20"/>
    </row>
    <row r="640">
      <c r="A640" s="27"/>
      <c r="B640" s="28"/>
      <c r="C640" s="9"/>
      <c r="D640" s="20"/>
    </row>
    <row r="641">
      <c r="A641" s="27"/>
      <c r="B641" s="28"/>
      <c r="C641" s="9"/>
      <c r="D641" s="20"/>
    </row>
    <row r="642">
      <c r="A642" s="27"/>
      <c r="B642" s="28"/>
      <c r="C642" s="9"/>
      <c r="D642" s="20"/>
    </row>
    <row r="643">
      <c r="A643" s="27"/>
      <c r="B643" s="28"/>
      <c r="C643" s="9"/>
      <c r="D643" s="20"/>
    </row>
    <row r="644">
      <c r="A644" s="27"/>
      <c r="B644" s="28"/>
      <c r="C644" s="9"/>
      <c r="D644" s="20"/>
    </row>
    <row r="645">
      <c r="A645" s="27"/>
      <c r="B645" s="28"/>
      <c r="C645" s="9"/>
      <c r="D645" s="20"/>
    </row>
    <row r="646">
      <c r="A646" s="27"/>
      <c r="B646" s="28"/>
      <c r="C646" s="9"/>
      <c r="D646" s="20"/>
    </row>
    <row r="647">
      <c r="A647" s="27"/>
      <c r="B647" s="28"/>
      <c r="C647" s="9"/>
      <c r="D647" s="20"/>
    </row>
    <row r="648">
      <c r="A648" s="27"/>
      <c r="B648" s="28"/>
      <c r="C648" s="9"/>
      <c r="D648" s="20"/>
    </row>
    <row r="649">
      <c r="A649" s="27"/>
      <c r="B649" s="28"/>
      <c r="C649" s="9"/>
      <c r="D649" s="20"/>
    </row>
    <row r="650">
      <c r="A650" s="27"/>
      <c r="B650" s="28"/>
      <c r="C650" s="9"/>
      <c r="D650" s="20"/>
    </row>
    <row r="651">
      <c r="A651" s="27"/>
      <c r="B651" s="28"/>
      <c r="C651" s="9"/>
      <c r="D651" s="20"/>
    </row>
    <row r="652">
      <c r="A652" s="27"/>
      <c r="B652" s="28"/>
      <c r="C652" s="9"/>
      <c r="D652" s="20"/>
    </row>
    <row r="653">
      <c r="A653" s="27"/>
      <c r="B653" s="28"/>
      <c r="C653" s="9"/>
      <c r="D653" s="20"/>
    </row>
    <row r="654">
      <c r="A654" s="27"/>
      <c r="B654" s="28"/>
      <c r="C654" s="9"/>
      <c r="D654" s="20"/>
    </row>
    <row r="655">
      <c r="A655" s="27"/>
      <c r="B655" s="28"/>
      <c r="C655" s="9"/>
      <c r="D655" s="20"/>
    </row>
    <row r="656">
      <c r="A656" s="27"/>
      <c r="B656" s="28"/>
      <c r="C656" s="9"/>
      <c r="D656" s="20"/>
    </row>
    <row r="657">
      <c r="A657" s="27"/>
      <c r="B657" s="28"/>
      <c r="C657" s="9"/>
      <c r="D657" s="20"/>
    </row>
    <row r="658">
      <c r="A658" s="27"/>
      <c r="B658" s="28"/>
      <c r="C658" s="9"/>
      <c r="D658" s="20"/>
    </row>
    <row r="659">
      <c r="A659" s="27"/>
      <c r="B659" s="28"/>
      <c r="C659" s="9"/>
      <c r="D659" s="20"/>
    </row>
    <row r="660">
      <c r="A660" s="27"/>
      <c r="B660" s="28"/>
      <c r="C660" s="9"/>
      <c r="D660" s="20"/>
    </row>
    <row r="661">
      <c r="A661" s="27"/>
      <c r="B661" s="28"/>
      <c r="C661" s="9"/>
      <c r="D661" s="20"/>
    </row>
    <row r="662">
      <c r="A662" s="27"/>
      <c r="B662" s="28"/>
      <c r="C662" s="9"/>
      <c r="D662" s="20"/>
    </row>
    <row r="663">
      <c r="A663" s="27"/>
      <c r="B663" s="28"/>
      <c r="C663" s="9"/>
      <c r="D663" s="20"/>
    </row>
    <row r="664">
      <c r="A664" s="27"/>
      <c r="B664" s="28"/>
      <c r="C664" s="9"/>
      <c r="D664" s="20"/>
    </row>
    <row r="665">
      <c r="A665" s="27"/>
      <c r="B665" s="28"/>
      <c r="C665" s="9"/>
      <c r="D665" s="20"/>
    </row>
    <row r="666">
      <c r="A666" s="27"/>
      <c r="B666" s="28"/>
      <c r="C666" s="9"/>
      <c r="D666" s="20"/>
    </row>
    <row r="667">
      <c r="A667" s="27"/>
      <c r="B667" s="28"/>
      <c r="C667" s="9"/>
      <c r="D667" s="20"/>
    </row>
    <row r="668">
      <c r="A668" s="27"/>
      <c r="B668" s="28"/>
      <c r="C668" s="9"/>
      <c r="D668" s="20"/>
    </row>
    <row r="669">
      <c r="A669" s="27"/>
      <c r="B669" s="28"/>
      <c r="C669" s="9"/>
      <c r="D669" s="20"/>
    </row>
    <row r="670">
      <c r="A670" s="27"/>
      <c r="B670" s="28"/>
      <c r="C670" s="9"/>
      <c r="D670" s="20"/>
    </row>
    <row r="671">
      <c r="A671" s="27"/>
      <c r="B671" s="28"/>
      <c r="C671" s="9"/>
      <c r="D671" s="20"/>
    </row>
    <row r="672">
      <c r="A672" s="27"/>
      <c r="B672" s="28"/>
      <c r="C672" s="9"/>
      <c r="D672" s="20"/>
    </row>
    <row r="673">
      <c r="A673" s="27"/>
      <c r="B673" s="28"/>
      <c r="C673" s="9"/>
      <c r="D673" s="20"/>
    </row>
    <row r="674">
      <c r="A674" s="27"/>
      <c r="B674" s="28"/>
      <c r="C674" s="9"/>
      <c r="D674" s="20"/>
    </row>
    <row r="675">
      <c r="A675" s="27"/>
      <c r="B675" s="28"/>
      <c r="C675" s="9"/>
      <c r="D675" s="20"/>
    </row>
    <row r="676">
      <c r="A676" s="27"/>
      <c r="B676" s="28"/>
      <c r="C676" s="9"/>
      <c r="D676" s="20"/>
    </row>
    <row r="677">
      <c r="A677" s="27"/>
      <c r="B677" s="28"/>
      <c r="C677" s="9"/>
      <c r="D677" s="20"/>
    </row>
    <row r="678">
      <c r="A678" s="27"/>
      <c r="B678" s="28"/>
      <c r="C678" s="9"/>
      <c r="D678" s="20"/>
    </row>
    <row r="679">
      <c r="A679" s="27"/>
      <c r="B679" s="28"/>
      <c r="C679" s="9"/>
      <c r="D679" s="20"/>
    </row>
    <row r="680">
      <c r="A680" s="27"/>
      <c r="B680" s="28"/>
      <c r="C680" s="9"/>
      <c r="D680" s="20"/>
    </row>
    <row r="681">
      <c r="A681" s="27"/>
      <c r="B681" s="28"/>
      <c r="C681" s="9"/>
      <c r="D681" s="20"/>
    </row>
    <row r="682">
      <c r="A682" s="27"/>
      <c r="B682" s="28"/>
      <c r="C682" s="9"/>
      <c r="D682" s="20"/>
    </row>
    <row r="683">
      <c r="A683" s="27"/>
      <c r="B683" s="28"/>
      <c r="C683" s="9"/>
      <c r="D683" s="20"/>
    </row>
    <row r="684">
      <c r="A684" s="27"/>
      <c r="B684" s="28"/>
      <c r="C684" s="9"/>
      <c r="D684" s="20"/>
    </row>
    <row r="685">
      <c r="A685" s="27"/>
      <c r="B685" s="28"/>
      <c r="C685" s="9"/>
      <c r="D685" s="20"/>
    </row>
    <row r="686">
      <c r="A686" s="27"/>
      <c r="B686" s="28"/>
      <c r="C686" s="9"/>
      <c r="D686" s="20"/>
    </row>
    <row r="687">
      <c r="A687" s="27"/>
      <c r="B687" s="28"/>
      <c r="C687" s="9"/>
      <c r="D687" s="20"/>
    </row>
    <row r="688">
      <c r="A688" s="27"/>
      <c r="B688" s="28"/>
      <c r="C688" s="9"/>
      <c r="D688" s="20"/>
    </row>
    <row r="689">
      <c r="A689" s="27"/>
      <c r="B689" s="28"/>
      <c r="C689" s="9"/>
      <c r="D689" s="20"/>
    </row>
    <row r="690">
      <c r="A690" s="27"/>
      <c r="B690" s="28"/>
      <c r="C690" s="9"/>
      <c r="D690" s="20"/>
    </row>
    <row r="691">
      <c r="A691" s="27"/>
      <c r="B691" s="28"/>
      <c r="C691" s="9"/>
      <c r="D691" s="20"/>
    </row>
    <row r="692">
      <c r="A692" s="27"/>
      <c r="B692" s="28"/>
      <c r="C692" s="9"/>
      <c r="D692" s="20"/>
    </row>
    <row r="693">
      <c r="A693" s="27"/>
      <c r="B693" s="28"/>
      <c r="C693" s="9"/>
      <c r="D693" s="20"/>
    </row>
    <row r="694">
      <c r="A694" s="27"/>
      <c r="B694" s="28"/>
      <c r="C694" s="9"/>
      <c r="D694" s="20"/>
    </row>
    <row r="695">
      <c r="A695" s="27"/>
      <c r="B695" s="28"/>
      <c r="C695" s="9"/>
      <c r="D695" s="20"/>
    </row>
    <row r="696">
      <c r="A696" s="27"/>
      <c r="B696" s="28"/>
      <c r="C696" s="9"/>
      <c r="D696" s="20"/>
    </row>
    <row r="697">
      <c r="A697" s="27"/>
      <c r="B697" s="28"/>
      <c r="C697" s="9"/>
      <c r="D697" s="20"/>
    </row>
    <row r="698">
      <c r="A698" s="27"/>
      <c r="B698" s="28"/>
      <c r="C698" s="9"/>
      <c r="D698" s="20"/>
    </row>
    <row r="699">
      <c r="A699" s="27"/>
      <c r="B699" s="28"/>
      <c r="C699" s="9"/>
      <c r="D699" s="20"/>
    </row>
    <row r="700">
      <c r="A700" s="27"/>
      <c r="B700" s="28"/>
      <c r="C700" s="9"/>
      <c r="D700" s="20"/>
    </row>
    <row r="701">
      <c r="A701" s="27"/>
      <c r="B701" s="28"/>
      <c r="C701" s="9"/>
      <c r="D701" s="20"/>
    </row>
    <row r="702">
      <c r="A702" s="27"/>
      <c r="B702" s="28"/>
      <c r="C702" s="9"/>
      <c r="D702" s="20"/>
    </row>
    <row r="703">
      <c r="A703" s="27"/>
      <c r="B703" s="28"/>
      <c r="C703" s="9"/>
      <c r="D703" s="20"/>
    </row>
    <row r="704">
      <c r="A704" s="27"/>
      <c r="B704" s="28"/>
      <c r="C704" s="9"/>
      <c r="D704" s="20"/>
    </row>
    <row r="705">
      <c r="A705" s="27"/>
      <c r="B705" s="28"/>
      <c r="C705" s="9"/>
      <c r="D705" s="20"/>
    </row>
    <row r="706">
      <c r="A706" s="27"/>
      <c r="B706" s="28"/>
      <c r="C706" s="9"/>
      <c r="D706" s="20"/>
    </row>
    <row r="707">
      <c r="A707" s="27"/>
      <c r="B707" s="28"/>
      <c r="C707" s="9"/>
      <c r="D707" s="20"/>
    </row>
    <row r="708">
      <c r="A708" s="27"/>
      <c r="B708" s="28"/>
      <c r="C708" s="9"/>
      <c r="D708" s="20"/>
    </row>
    <row r="709">
      <c r="A709" s="27"/>
      <c r="B709" s="28"/>
      <c r="C709" s="9"/>
      <c r="D709" s="20"/>
    </row>
    <row r="710">
      <c r="A710" s="27"/>
      <c r="B710" s="28"/>
      <c r="C710" s="9"/>
      <c r="D710" s="20"/>
    </row>
    <row r="711">
      <c r="A711" s="27"/>
      <c r="B711" s="28"/>
      <c r="C711" s="9"/>
      <c r="D711" s="20"/>
    </row>
    <row r="712">
      <c r="A712" s="27"/>
      <c r="B712" s="28"/>
      <c r="C712" s="9"/>
      <c r="D712" s="20"/>
    </row>
    <row r="713">
      <c r="A713" s="27"/>
      <c r="B713" s="28"/>
      <c r="C713" s="9"/>
      <c r="D713" s="20"/>
    </row>
    <row r="714">
      <c r="A714" s="27"/>
      <c r="B714" s="28"/>
      <c r="C714" s="9"/>
      <c r="D714" s="20"/>
    </row>
    <row r="715">
      <c r="A715" s="27"/>
      <c r="B715" s="28"/>
      <c r="C715" s="9"/>
      <c r="D715" s="20"/>
    </row>
    <row r="716">
      <c r="A716" s="27"/>
      <c r="B716" s="28"/>
      <c r="C716" s="9"/>
      <c r="D716" s="20"/>
    </row>
    <row r="717">
      <c r="A717" s="27"/>
      <c r="B717" s="28"/>
      <c r="C717" s="9"/>
      <c r="D717" s="20"/>
    </row>
    <row r="718">
      <c r="A718" s="27"/>
      <c r="B718" s="28"/>
      <c r="C718" s="9"/>
      <c r="D718" s="20"/>
    </row>
    <row r="719">
      <c r="A719" s="27"/>
      <c r="B719" s="28"/>
      <c r="C719" s="9"/>
      <c r="D719" s="20"/>
    </row>
    <row r="720">
      <c r="A720" s="27"/>
      <c r="B720" s="28"/>
      <c r="C720" s="9"/>
      <c r="D720" s="20"/>
    </row>
    <row r="721">
      <c r="A721" s="27"/>
      <c r="B721" s="28"/>
      <c r="C721" s="9"/>
      <c r="D721" s="20"/>
    </row>
    <row r="722">
      <c r="A722" s="27"/>
      <c r="B722" s="28"/>
      <c r="C722" s="9"/>
      <c r="D722" s="20"/>
    </row>
    <row r="723">
      <c r="A723" s="27"/>
      <c r="B723" s="28"/>
      <c r="C723" s="9"/>
      <c r="D723" s="20"/>
    </row>
    <row r="724">
      <c r="A724" s="27"/>
      <c r="B724" s="28"/>
      <c r="C724" s="9"/>
      <c r="D724" s="20"/>
    </row>
    <row r="725">
      <c r="A725" s="27"/>
      <c r="B725" s="28"/>
      <c r="C725" s="9"/>
      <c r="D725" s="20"/>
    </row>
    <row r="726">
      <c r="A726" s="27"/>
      <c r="B726" s="28"/>
      <c r="C726" s="9"/>
      <c r="D726" s="20"/>
    </row>
    <row r="727">
      <c r="A727" s="27"/>
      <c r="B727" s="28"/>
      <c r="C727" s="9"/>
      <c r="D727" s="20"/>
    </row>
    <row r="728">
      <c r="A728" s="27"/>
      <c r="B728" s="28"/>
      <c r="C728" s="9"/>
      <c r="D728" s="20"/>
    </row>
    <row r="729">
      <c r="A729" s="27"/>
      <c r="B729" s="28"/>
      <c r="C729" s="9"/>
      <c r="D729" s="20"/>
    </row>
    <row r="730">
      <c r="A730" s="27"/>
      <c r="B730" s="28"/>
      <c r="C730" s="9"/>
      <c r="D730" s="20"/>
    </row>
    <row r="731">
      <c r="A731" s="27"/>
      <c r="B731" s="28"/>
      <c r="C731" s="9"/>
      <c r="D731" s="20"/>
    </row>
    <row r="732">
      <c r="A732" s="27"/>
      <c r="B732" s="28"/>
      <c r="C732" s="9"/>
      <c r="D732" s="20"/>
    </row>
    <row r="733">
      <c r="A733" s="27"/>
      <c r="B733" s="28"/>
      <c r="C733" s="9"/>
      <c r="D733" s="20"/>
    </row>
    <row r="734">
      <c r="A734" s="27"/>
      <c r="B734" s="28"/>
      <c r="C734" s="9"/>
      <c r="D734" s="20"/>
    </row>
    <row r="735">
      <c r="A735" s="27"/>
      <c r="B735" s="28"/>
      <c r="C735" s="9"/>
      <c r="D735" s="20"/>
    </row>
    <row r="736">
      <c r="A736" s="27"/>
      <c r="B736" s="28"/>
      <c r="C736" s="9"/>
      <c r="D736" s="20"/>
    </row>
    <row r="737">
      <c r="A737" s="27"/>
      <c r="B737" s="28"/>
      <c r="C737" s="9"/>
      <c r="D737" s="20"/>
    </row>
    <row r="738">
      <c r="A738" s="27"/>
      <c r="B738" s="28"/>
      <c r="C738" s="9"/>
      <c r="D738" s="20"/>
    </row>
    <row r="739">
      <c r="A739" s="27"/>
      <c r="B739" s="28"/>
      <c r="C739" s="9"/>
      <c r="D739" s="20"/>
    </row>
    <row r="740">
      <c r="A740" s="27"/>
      <c r="B740" s="28"/>
      <c r="C740" s="9"/>
      <c r="D740" s="20"/>
    </row>
    <row r="741">
      <c r="A741" s="27"/>
      <c r="B741" s="28"/>
      <c r="C741" s="9"/>
      <c r="D741" s="20"/>
    </row>
    <row r="742">
      <c r="A742" s="27"/>
      <c r="B742" s="28"/>
      <c r="C742" s="9"/>
      <c r="D742" s="20"/>
    </row>
    <row r="743">
      <c r="A743" s="27"/>
      <c r="B743" s="28"/>
      <c r="C743" s="9"/>
      <c r="D743" s="20"/>
    </row>
    <row r="744">
      <c r="A744" s="27"/>
      <c r="B744" s="28"/>
      <c r="C744" s="9"/>
      <c r="D744" s="20"/>
    </row>
    <row r="745">
      <c r="A745" s="27"/>
      <c r="B745" s="28"/>
      <c r="C745" s="9"/>
      <c r="D745" s="20"/>
    </row>
    <row r="746">
      <c r="A746" s="27"/>
      <c r="B746" s="28"/>
      <c r="C746" s="9"/>
      <c r="D746" s="20"/>
    </row>
    <row r="747">
      <c r="A747" s="27"/>
      <c r="B747" s="28"/>
      <c r="C747" s="9"/>
      <c r="D747" s="20"/>
    </row>
    <row r="748">
      <c r="A748" s="27"/>
      <c r="B748" s="28"/>
      <c r="C748" s="9"/>
      <c r="D748" s="20"/>
    </row>
    <row r="749">
      <c r="A749" s="27"/>
      <c r="B749" s="28"/>
      <c r="C749" s="9"/>
      <c r="D749" s="20"/>
    </row>
    <row r="750">
      <c r="A750" s="27"/>
      <c r="B750" s="28"/>
      <c r="C750" s="9"/>
      <c r="D750" s="20"/>
    </row>
    <row r="751">
      <c r="A751" s="27"/>
      <c r="B751" s="28"/>
      <c r="C751" s="9"/>
      <c r="D751" s="20"/>
    </row>
    <row r="752">
      <c r="A752" s="27"/>
      <c r="B752" s="28"/>
      <c r="C752" s="9"/>
      <c r="D752" s="20"/>
    </row>
    <row r="753">
      <c r="A753" s="27"/>
      <c r="B753" s="28"/>
      <c r="C753" s="9"/>
      <c r="D753" s="20"/>
    </row>
    <row r="754">
      <c r="A754" s="27"/>
      <c r="B754" s="28"/>
      <c r="C754" s="9"/>
      <c r="D754" s="20"/>
    </row>
    <row r="755">
      <c r="A755" s="27"/>
      <c r="B755" s="28"/>
      <c r="C755" s="9"/>
      <c r="D755" s="20"/>
    </row>
    <row r="756">
      <c r="A756" s="27"/>
      <c r="B756" s="28"/>
      <c r="C756" s="9"/>
      <c r="D756" s="20"/>
    </row>
    <row r="757">
      <c r="A757" s="27"/>
      <c r="B757" s="28"/>
      <c r="C757" s="9"/>
      <c r="D757" s="20"/>
    </row>
    <row r="758">
      <c r="A758" s="27"/>
      <c r="B758" s="28"/>
      <c r="C758" s="9"/>
      <c r="D758" s="20"/>
    </row>
    <row r="759">
      <c r="A759" s="27"/>
      <c r="B759" s="28"/>
      <c r="C759" s="9"/>
      <c r="D759" s="20"/>
    </row>
    <row r="760">
      <c r="A760" s="27"/>
      <c r="B760" s="28"/>
      <c r="C760" s="9"/>
      <c r="D760" s="20"/>
    </row>
    <row r="761">
      <c r="A761" s="27"/>
      <c r="B761" s="28"/>
      <c r="C761" s="9"/>
      <c r="D761" s="20"/>
    </row>
    <row r="762">
      <c r="A762" s="27"/>
      <c r="B762" s="28"/>
      <c r="C762" s="9"/>
      <c r="D762" s="20"/>
    </row>
    <row r="763">
      <c r="A763" s="27"/>
      <c r="B763" s="28"/>
      <c r="C763" s="9"/>
      <c r="D763" s="20"/>
    </row>
    <row r="764">
      <c r="A764" s="27"/>
      <c r="B764" s="28"/>
      <c r="C764" s="9"/>
      <c r="D764" s="20"/>
    </row>
    <row r="765">
      <c r="A765" s="27"/>
      <c r="B765" s="28"/>
      <c r="C765" s="9"/>
      <c r="D765" s="20"/>
    </row>
    <row r="766">
      <c r="A766" s="27"/>
      <c r="B766" s="28"/>
      <c r="C766" s="9"/>
      <c r="D766" s="20"/>
    </row>
    <row r="767">
      <c r="A767" s="27"/>
      <c r="B767" s="28"/>
      <c r="C767" s="9"/>
      <c r="D767" s="20"/>
    </row>
    <row r="768">
      <c r="A768" s="27"/>
      <c r="B768" s="28"/>
      <c r="C768" s="9"/>
      <c r="D768" s="20"/>
    </row>
    <row r="769">
      <c r="A769" s="27"/>
      <c r="B769" s="28"/>
      <c r="C769" s="9"/>
      <c r="D769" s="20"/>
    </row>
    <row r="770">
      <c r="A770" s="27"/>
      <c r="B770" s="28"/>
      <c r="C770" s="9"/>
      <c r="D770" s="20"/>
    </row>
    <row r="771">
      <c r="A771" s="27"/>
      <c r="B771" s="28"/>
      <c r="C771" s="9"/>
      <c r="D771" s="20"/>
    </row>
    <row r="772">
      <c r="A772" s="27"/>
      <c r="B772" s="28"/>
      <c r="C772" s="9"/>
      <c r="D772" s="20"/>
    </row>
    <row r="773">
      <c r="A773" s="27"/>
      <c r="B773" s="28"/>
      <c r="C773" s="9"/>
      <c r="D773" s="20"/>
    </row>
    <row r="774">
      <c r="A774" s="27"/>
      <c r="B774" s="28"/>
      <c r="C774" s="9"/>
      <c r="D774" s="20"/>
    </row>
    <row r="775">
      <c r="A775" s="27"/>
      <c r="B775" s="28"/>
      <c r="C775" s="9"/>
      <c r="D775" s="20"/>
    </row>
    <row r="776">
      <c r="A776" s="27"/>
      <c r="B776" s="28"/>
      <c r="C776" s="9"/>
      <c r="D776" s="20"/>
    </row>
    <row r="777">
      <c r="A777" s="27"/>
      <c r="B777" s="28"/>
      <c r="C777" s="9"/>
      <c r="D777" s="20"/>
    </row>
    <row r="778">
      <c r="A778" s="27"/>
      <c r="B778" s="28"/>
      <c r="C778" s="9"/>
      <c r="D778" s="20"/>
    </row>
    <row r="779">
      <c r="A779" s="27"/>
      <c r="B779" s="28"/>
      <c r="C779" s="9"/>
      <c r="D779" s="20"/>
    </row>
    <row r="780">
      <c r="A780" s="27"/>
      <c r="B780" s="28"/>
      <c r="C780" s="9"/>
      <c r="D780" s="20"/>
    </row>
    <row r="781">
      <c r="A781" s="27"/>
      <c r="B781" s="28"/>
      <c r="C781" s="9"/>
      <c r="D781" s="20"/>
    </row>
    <row r="782">
      <c r="A782" s="27"/>
      <c r="B782" s="28"/>
      <c r="C782" s="9"/>
      <c r="D782" s="20"/>
    </row>
    <row r="783">
      <c r="A783" s="27"/>
      <c r="B783" s="28"/>
      <c r="C783" s="9"/>
      <c r="D783" s="20"/>
    </row>
    <row r="784">
      <c r="A784" s="27"/>
      <c r="B784" s="28"/>
      <c r="C784" s="9"/>
      <c r="D784" s="20"/>
    </row>
    <row r="785">
      <c r="A785" s="27"/>
      <c r="B785" s="28"/>
      <c r="C785" s="9"/>
      <c r="D785" s="20"/>
    </row>
    <row r="786">
      <c r="A786" s="27"/>
      <c r="B786" s="28"/>
      <c r="C786" s="9"/>
      <c r="D786" s="20"/>
    </row>
    <row r="787">
      <c r="A787" s="27"/>
      <c r="B787" s="28"/>
      <c r="C787" s="9"/>
      <c r="D787" s="20"/>
    </row>
    <row r="788">
      <c r="A788" s="27"/>
      <c r="B788" s="28"/>
      <c r="C788" s="9"/>
      <c r="D788" s="20"/>
    </row>
    <row r="789">
      <c r="A789" s="27"/>
      <c r="B789" s="28"/>
      <c r="C789" s="9"/>
      <c r="D789" s="20"/>
    </row>
    <row r="790">
      <c r="A790" s="27"/>
      <c r="B790" s="28"/>
      <c r="C790" s="9"/>
      <c r="D790" s="20"/>
    </row>
    <row r="791">
      <c r="A791" s="27"/>
      <c r="B791" s="28"/>
      <c r="C791" s="9"/>
      <c r="D791" s="20"/>
    </row>
    <row r="792">
      <c r="A792" s="27"/>
      <c r="B792" s="28"/>
      <c r="C792" s="9"/>
      <c r="D792" s="20"/>
    </row>
    <row r="793">
      <c r="A793" s="27"/>
      <c r="B793" s="28"/>
      <c r="C793" s="9"/>
      <c r="D793" s="20"/>
    </row>
    <row r="794">
      <c r="A794" s="27"/>
      <c r="B794" s="28"/>
      <c r="C794" s="9"/>
      <c r="D794" s="20"/>
    </row>
    <row r="795">
      <c r="A795" s="27"/>
      <c r="B795" s="28"/>
      <c r="C795" s="9"/>
      <c r="D795" s="20"/>
    </row>
    <row r="796">
      <c r="A796" s="27"/>
      <c r="B796" s="28"/>
      <c r="C796" s="9"/>
      <c r="D796" s="20"/>
    </row>
    <row r="797">
      <c r="A797" s="27"/>
      <c r="B797" s="28"/>
      <c r="C797" s="9"/>
      <c r="D797" s="20"/>
    </row>
    <row r="798">
      <c r="A798" s="27"/>
      <c r="B798" s="28"/>
      <c r="C798" s="9"/>
      <c r="D798" s="20"/>
    </row>
    <row r="799">
      <c r="A799" s="27"/>
      <c r="B799" s="28"/>
      <c r="C799" s="9"/>
      <c r="D799" s="20"/>
    </row>
    <row r="800">
      <c r="A800" s="27"/>
      <c r="B800" s="28"/>
      <c r="C800" s="9"/>
      <c r="D800" s="20"/>
    </row>
    <row r="801">
      <c r="A801" s="27"/>
      <c r="B801" s="28"/>
      <c r="C801" s="9"/>
      <c r="D801" s="20"/>
    </row>
    <row r="802">
      <c r="A802" s="27"/>
      <c r="B802" s="28"/>
      <c r="C802" s="9"/>
      <c r="D802" s="20"/>
    </row>
    <row r="803">
      <c r="A803" s="27"/>
      <c r="B803" s="28"/>
      <c r="C803" s="9"/>
      <c r="D803" s="20"/>
    </row>
    <row r="804">
      <c r="A804" s="27"/>
      <c r="B804" s="28"/>
      <c r="C804" s="9"/>
      <c r="D804" s="20"/>
    </row>
    <row r="805">
      <c r="A805" s="27"/>
      <c r="B805" s="28"/>
      <c r="C805" s="9"/>
      <c r="D805" s="20"/>
    </row>
    <row r="806">
      <c r="A806" s="27"/>
      <c r="B806" s="28"/>
      <c r="C806" s="9"/>
      <c r="D806" s="20"/>
    </row>
    <row r="807">
      <c r="A807" s="27"/>
      <c r="B807" s="28"/>
      <c r="C807" s="9"/>
      <c r="D807" s="20"/>
    </row>
    <row r="808">
      <c r="A808" s="27"/>
      <c r="B808" s="28"/>
      <c r="C808" s="9"/>
      <c r="D808" s="20"/>
    </row>
    <row r="809">
      <c r="A809" s="27"/>
      <c r="B809" s="28"/>
      <c r="C809" s="9"/>
      <c r="D809" s="20"/>
    </row>
    <row r="810">
      <c r="A810" s="27"/>
      <c r="B810" s="28"/>
      <c r="C810" s="9"/>
      <c r="D810" s="20"/>
    </row>
    <row r="811">
      <c r="A811" s="27"/>
      <c r="B811" s="28"/>
      <c r="C811" s="9"/>
      <c r="D811" s="20"/>
    </row>
    <row r="812">
      <c r="A812" s="27"/>
      <c r="B812" s="28"/>
      <c r="C812" s="9"/>
      <c r="D812" s="20"/>
    </row>
    <row r="813">
      <c r="A813" s="27"/>
      <c r="B813" s="28"/>
      <c r="C813" s="9"/>
      <c r="D813" s="20"/>
    </row>
    <row r="814">
      <c r="A814" s="27"/>
      <c r="B814" s="28"/>
      <c r="C814" s="9"/>
      <c r="D814" s="20"/>
    </row>
    <row r="815">
      <c r="A815" s="27"/>
      <c r="B815" s="28"/>
      <c r="C815" s="9"/>
      <c r="D815" s="20"/>
    </row>
    <row r="816">
      <c r="A816" s="27"/>
      <c r="B816" s="28"/>
      <c r="C816" s="9"/>
      <c r="D816" s="20"/>
    </row>
    <row r="817">
      <c r="A817" s="27"/>
      <c r="B817" s="28"/>
      <c r="C817" s="9"/>
      <c r="D817" s="20"/>
    </row>
    <row r="818">
      <c r="A818" s="27"/>
      <c r="B818" s="28"/>
      <c r="C818" s="9"/>
      <c r="D818" s="20"/>
    </row>
    <row r="819">
      <c r="A819" s="27"/>
      <c r="B819" s="28"/>
      <c r="C819" s="9"/>
      <c r="D819" s="20"/>
    </row>
    <row r="820">
      <c r="A820" s="27"/>
      <c r="B820" s="28"/>
      <c r="C820" s="9"/>
      <c r="D820" s="20"/>
    </row>
    <row r="821">
      <c r="A821" s="27"/>
      <c r="B821" s="28"/>
      <c r="C821" s="9"/>
      <c r="D821" s="20"/>
    </row>
    <row r="822">
      <c r="A822" s="27"/>
      <c r="B822" s="28"/>
      <c r="C822" s="9"/>
      <c r="D822" s="20"/>
    </row>
    <row r="823">
      <c r="A823" s="27"/>
      <c r="B823" s="28"/>
      <c r="C823" s="9"/>
      <c r="D823" s="20"/>
    </row>
    <row r="824">
      <c r="A824" s="27"/>
      <c r="B824" s="28"/>
      <c r="C824" s="9"/>
      <c r="D824" s="20"/>
    </row>
    <row r="825">
      <c r="A825" s="27"/>
      <c r="B825" s="28"/>
      <c r="C825" s="9"/>
      <c r="D825" s="20"/>
    </row>
    <row r="826">
      <c r="A826" s="27"/>
      <c r="B826" s="28"/>
      <c r="C826" s="9"/>
      <c r="D826" s="20"/>
    </row>
    <row r="827">
      <c r="A827" s="27"/>
      <c r="B827" s="28"/>
      <c r="C827" s="9"/>
      <c r="D827" s="20"/>
    </row>
    <row r="828">
      <c r="A828" s="27"/>
      <c r="B828" s="28"/>
      <c r="C828" s="9"/>
      <c r="D828" s="20"/>
    </row>
    <row r="829">
      <c r="A829" s="27"/>
      <c r="B829" s="28"/>
      <c r="C829" s="9"/>
      <c r="D829" s="20"/>
    </row>
    <row r="830">
      <c r="A830" s="27"/>
      <c r="B830" s="28"/>
      <c r="C830" s="9"/>
      <c r="D830" s="20"/>
    </row>
    <row r="831">
      <c r="A831" s="27"/>
      <c r="B831" s="28"/>
      <c r="C831" s="9"/>
      <c r="D831" s="20"/>
    </row>
    <row r="832">
      <c r="A832" s="27"/>
      <c r="B832" s="28"/>
      <c r="C832" s="9"/>
      <c r="D832" s="20"/>
    </row>
    <row r="833">
      <c r="A833" s="27"/>
      <c r="B833" s="28"/>
      <c r="C833" s="9"/>
      <c r="D833" s="20"/>
    </row>
    <row r="834">
      <c r="A834" s="27"/>
      <c r="B834" s="28"/>
      <c r="C834" s="9"/>
      <c r="D834" s="20"/>
    </row>
    <row r="835">
      <c r="A835" s="27"/>
      <c r="B835" s="28"/>
      <c r="C835" s="9"/>
      <c r="D835" s="20"/>
    </row>
    <row r="836">
      <c r="A836" s="27"/>
      <c r="B836" s="28"/>
      <c r="C836" s="9"/>
      <c r="D836" s="20"/>
    </row>
    <row r="837">
      <c r="A837" s="27"/>
      <c r="B837" s="28"/>
      <c r="C837" s="9"/>
      <c r="D837" s="20"/>
    </row>
    <row r="838">
      <c r="A838" s="27"/>
      <c r="B838" s="28"/>
      <c r="C838" s="9"/>
      <c r="D838" s="20"/>
    </row>
    <row r="839">
      <c r="A839" s="27"/>
      <c r="B839" s="28"/>
      <c r="C839" s="9"/>
      <c r="D839" s="20"/>
    </row>
    <row r="840">
      <c r="A840" s="27"/>
      <c r="B840" s="28"/>
      <c r="C840" s="9"/>
      <c r="D840" s="20"/>
    </row>
    <row r="841">
      <c r="A841" s="27"/>
      <c r="B841" s="28"/>
      <c r="C841" s="9"/>
      <c r="D841" s="20"/>
    </row>
    <row r="842">
      <c r="A842" s="27"/>
      <c r="B842" s="28"/>
      <c r="C842" s="9"/>
      <c r="D842" s="20"/>
    </row>
    <row r="843">
      <c r="A843" s="27"/>
      <c r="B843" s="28"/>
      <c r="C843" s="9"/>
      <c r="D843" s="20"/>
    </row>
    <row r="844">
      <c r="A844" s="27"/>
      <c r="B844" s="28"/>
      <c r="C844" s="9"/>
      <c r="D844" s="20"/>
    </row>
    <row r="845">
      <c r="A845" s="27"/>
      <c r="B845" s="28"/>
      <c r="C845" s="9"/>
      <c r="D845" s="20"/>
    </row>
    <row r="846">
      <c r="A846" s="27"/>
      <c r="B846" s="28"/>
      <c r="C846" s="9"/>
      <c r="D846" s="20"/>
    </row>
    <row r="847">
      <c r="A847" s="27"/>
      <c r="B847" s="28"/>
      <c r="C847" s="9"/>
      <c r="D847" s="20"/>
    </row>
    <row r="848">
      <c r="A848" s="27"/>
      <c r="B848" s="28"/>
      <c r="C848" s="9"/>
      <c r="D848" s="20"/>
    </row>
    <row r="849">
      <c r="A849" s="27"/>
      <c r="B849" s="28"/>
      <c r="C849" s="9"/>
      <c r="D849" s="20"/>
    </row>
    <row r="850">
      <c r="A850" s="27"/>
      <c r="B850" s="28"/>
      <c r="C850" s="9"/>
      <c r="D850" s="20"/>
    </row>
    <row r="851">
      <c r="A851" s="27"/>
      <c r="B851" s="28"/>
      <c r="C851" s="9"/>
      <c r="D851" s="20"/>
    </row>
    <row r="852">
      <c r="A852" s="27"/>
      <c r="B852" s="28"/>
      <c r="C852" s="9"/>
      <c r="D852" s="20"/>
    </row>
    <row r="853">
      <c r="A853" s="27"/>
      <c r="B853" s="28"/>
      <c r="C853" s="9"/>
      <c r="D853" s="20"/>
    </row>
    <row r="854">
      <c r="A854" s="27"/>
      <c r="B854" s="28"/>
      <c r="C854" s="9"/>
      <c r="D854" s="20"/>
    </row>
    <row r="855">
      <c r="A855" s="27"/>
      <c r="B855" s="28"/>
      <c r="C855" s="9"/>
      <c r="D855" s="20"/>
    </row>
    <row r="856">
      <c r="A856" s="27"/>
      <c r="B856" s="28"/>
      <c r="C856" s="9"/>
      <c r="D856" s="20"/>
    </row>
    <row r="857">
      <c r="A857" s="27"/>
      <c r="B857" s="28"/>
      <c r="C857" s="9"/>
      <c r="D857" s="20"/>
    </row>
    <row r="858">
      <c r="A858" s="27"/>
      <c r="B858" s="28"/>
      <c r="C858" s="9"/>
      <c r="D858" s="20"/>
    </row>
    <row r="859">
      <c r="A859" s="27"/>
      <c r="B859" s="28"/>
      <c r="C859" s="9"/>
      <c r="D859" s="20"/>
    </row>
    <row r="860">
      <c r="A860" s="27"/>
      <c r="B860" s="28"/>
      <c r="C860" s="9"/>
      <c r="D860" s="20"/>
    </row>
    <row r="861">
      <c r="A861" s="27"/>
      <c r="B861" s="28"/>
      <c r="C861" s="9"/>
      <c r="D861" s="20"/>
    </row>
    <row r="862">
      <c r="A862" s="27"/>
      <c r="B862" s="28"/>
      <c r="C862" s="9"/>
      <c r="D862" s="20"/>
    </row>
    <row r="863">
      <c r="A863" s="27"/>
      <c r="B863" s="28"/>
      <c r="C863" s="9"/>
      <c r="D863" s="20"/>
    </row>
    <row r="864">
      <c r="A864" s="27"/>
      <c r="B864" s="28"/>
      <c r="C864" s="9"/>
      <c r="D864" s="20"/>
    </row>
    <row r="865">
      <c r="A865" s="27"/>
      <c r="B865" s="28"/>
      <c r="C865" s="9"/>
      <c r="D865" s="20"/>
    </row>
    <row r="866">
      <c r="A866" s="27"/>
      <c r="B866" s="28"/>
      <c r="C866" s="9"/>
      <c r="D866" s="20"/>
    </row>
    <row r="867">
      <c r="A867" s="27"/>
      <c r="B867" s="28"/>
      <c r="C867" s="9"/>
      <c r="D867" s="20"/>
    </row>
    <row r="868">
      <c r="A868" s="27"/>
      <c r="B868" s="28"/>
      <c r="C868" s="9"/>
      <c r="D868" s="20"/>
    </row>
    <row r="869">
      <c r="A869" s="27"/>
      <c r="B869" s="28"/>
      <c r="C869" s="9"/>
      <c r="D869" s="20"/>
    </row>
    <row r="870">
      <c r="A870" s="27"/>
      <c r="B870" s="28"/>
      <c r="C870" s="9"/>
      <c r="D870" s="20"/>
    </row>
    <row r="871">
      <c r="A871" s="27"/>
      <c r="B871" s="28"/>
      <c r="C871" s="9"/>
      <c r="D871" s="20"/>
    </row>
    <row r="872">
      <c r="A872" s="27"/>
      <c r="B872" s="28"/>
      <c r="C872" s="9"/>
      <c r="D872" s="20"/>
    </row>
    <row r="873">
      <c r="A873" s="27"/>
      <c r="B873" s="28"/>
      <c r="C873" s="9"/>
      <c r="D873" s="20"/>
    </row>
    <row r="874">
      <c r="A874" s="27"/>
      <c r="B874" s="28"/>
      <c r="C874" s="9"/>
      <c r="D874" s="20"/>
    </row>
    <row r="875">
      <c r="A875" s="27"/>
      <c r="B875" s="28"/>
      <c r="C875" s="9"/>
      <c r="D875" s="20"/>
    </row>
    <row r="876">
      <c r="A876" s="27"/>
      <c r="B876" s="28"/>
      <c r="C876" s="9"/>
      <c r="D876" s="20"/>
    </row>
    <row r="877">
      <c r="A877" s="27"/>
      <c r="B877" s="28"/>
      <c r="C877" s="9"/>
      <c r="D877" s="20"/>
    </row>
    <row r="878">
      <c r="A878" s="27"/>
      <c r="B878" s="28"/>
      <c r="C878" s="9"/>
      <c r="D878" s="20"/>
    </row>
    <row r="879">
      <c r="A879" s="27"/>
      <c r="B879" s="28"/>
      <c r="C879" s="9"/>
      <c r="D879" s="20"/>
    </row>
    <row r="880">
      <c r="A880" s="27"/>
      <c r="B880" s="28"/>
      <c r="C880" s="9"/>
      <c r="D880" s="20"/>
    </row>
    <row r="881">
      <c r="A881" s="27"/>
      <c r="B881" s="28"/>
      <c r="C881" s="9"/>
      <c r="D881" s="20"/>
    </row>
    <row r="882">
      <c r="A882" s="27"/>
      <c r="B882" s="28"/>
      <c r="C882" s="9"/>
      <c r="D882" s="20"/>
    </row>
    <row r="883">
      <c r="A883" s="27"/>
      <c r="B883" s="28"/>
      <c r="C883" s="9"/>
      <c r="D883" s="20"/>
    </row>
    <row r="884">
      <c r="A884" s="27"/>
      <c r="B884" s="28"/>
      <c r="C884" s="9"/>
      <c r="D884" s="20"/>
    </row>
    <row r="885">
      <c r="A885" s="27"/>
      <c r="B885" s="28"/>
      <c r="C885" s="9"/>
      <c r="D885" s="20"/>
    </row>
    <row r="886">
      <c r="A886" s="27"/>
      <c r="B886" s="28"/>
      <c r="C886" s="9"/>
      <c r="D886" s="20"/>
    </row>
    <row r="887">
      <c r="A887" s="27"/>
      <c r="B887" s="28"/>
      <c r="C887" s="9"/>
      <c r="D887" s="20"/>
    </row>
    <row r="888">
      <c r="A888" s="27"/>
      <c r="B888" s="28"/>
      <c r="C888" s="9"/>
      <c r="D888" s="20"/>
    </row>
    <row r="889">
      <c r="A889" s="27"/>
      <c r="B889" s="28"/>
      <c r="C889" s="9"/>
      <c r="D889" s="20"/>
    </row>
    <row r="890">
      <c r="A890" s="27"/>
      <c r="B890" s="28"/>
      <c r="C890" s="9"/>
      <c r="D890" s="20"/>
    </row>
    <row r="891">
      <c r="A891" s="27"/>
      <c r="B891" s="28"/>
      <c r="C891" s="9"/>
      <c r="D891" s="20"/>
    </row>
    <row r="892">
      <c r="A892" s="27"/>
      <c r="B892" s="28"/>
      <c r="C892" s="9"/>
      <c r="D892" s="20"/>
    </row>
    <row r="893">
      <c r="A893" s="27"/>
      <c r="B893" s="28"/>
      <c r="C893" s="9"/>
      <c r="D893" s="20"/>
    </row>
    <row r="894">
      <c r="A894" s="27"/>
      <c r="B894" s="28"/>
      <c r="C894" s="9"/>
      <c r="D894" s="20"/>
    </row>
    <row r="895">
      <c r="A895" s="27"/>
      <c r="B895" s="28"/>
      <c r="C895" s="9"/>
      <c r="D895" s="20"/>
    </row>
    <row r="896">
      <c r="A896" s="27"/>
      <c r="B896" s="28"/>
      <c r="C896" s="9"/>
      <c r="D896" s="20"/>
    </row>
    <row r="897">
      <c r="A897" s="27"/>
      <c r="B897" s="28"/>
      <c r="C897" s="9"/>
      <c r="D897" s="20"/>
    </row>
    <row r="898">
      <c r="A898" s="27"/>
      <c r="B898" s="28"/>
      <c r="C898" s="9"/>
      <c r="D898" s="20"/>
    </row>
    <row r="899">
      <c r="A899" s="27"/>
      <c r="B899" s="28"/>
      <c r="C899" s="9"/>
      <c r="D899" s="20"/>
    </row>
    <row r="900">
      <c r="A900" s="27"/>
      <c r="B900" s="28"/>
      <c r="C900" s="9"/>
      <c r="D900" s="20"/>
    </row>
    <row r="901">
      <c r="A901" s="27"/>
      <c r="B901" s="28"/>
      <c r="C901" s="9"/>
      <c r="D901" s="20"/>
    </row>
    <row r="902">
      <c r="A902" s="27"/>
      <c r="B902" s="28"/>
      <c r="C902" s="9"/>
      <c r="D902" s="20"/>
    </row>
    <row r="903">
      <c r="A903" s="27"/>
      <c r="B903" s="28"/>
      <c r="C903" s="9"/>
      <c r="D903" s="20"/>
    </row>
    <row r="904">
      <c r="A904" s="27"/>
      <c r="B904" s="28"/>
      <c r="C904" s="9"/>
      <c r="D904" s="20"/>
    </row>
    <row r="905">
      <c r="A905" s="27"/>
      <c r="B905" s="28"/>
      <c r="C905" s="9"/>
      <c r="D905" s="20"/>
    </row>
    <row r="906">
      <c r="A906" s="27"/>
      <c r="B906" s="28"/>
      <c r="C906" s="9"/>
      <c r="D906" s="20"/>
    </row>
    <row r="907">
      <c r="A907" s="27"/>
      <c r="B907" s="28"/>
      <c r="C907" s="9"/>
      <c r="D907" s="20"/>
    </row>
    <row r="908">
      <c r="A908" s="27"/>
      <c r="B908" s="28"/>
      <c r="C908" s="9"/>
      <c r="D908" s="20"/>
    </row>
    <row r="909">
      <c r="A909" s="27"/>
      <c r="B909" s="28"/>
      <c r="C909" s="9"/>
      <c r="D909" s="20"/>
    </row>
    <row r="910">
      <c r="A910" s="27"/>
      <c r="B910" s="28"/>
      <c r="C910" s="9"/>
      <c r="D910" s="20"/>
    </row>
    <row r="911">
      <c r="A911" s="27"/>
      <c r="B911" s="28"/>
      <c r="C911" s="9"/>
      <c r="D911" s="20"/>
    </row>
    <row r="912">
      <c r="A912" s="27"/>
      <c r="B912" s="28"/>
      <c r="C912" s="9"/>
      <c r="D912" s="20"/>
    </row>
    <row r="913">
      <c r="A913" s="27"/>
      <c r="B913" s="28"/>
      <c r="C913" s="9"/>
      <c r="D913" s="20"/>
    </row>
    <row r="914">
      <c r="A914" s="27"/>
      <c r="B914" s="28"/>
      <c r="C914" s="9"/>
      <c r="D914" s="20"/>
    </row>
    <row r="915">
      <c r="A915" s="27"/>
      <c r="B915" s="28"/>
      <c r="C915" s="9"/>
      <c r="D915" s="20"/>
    </row>
    <row r="916">
      <c r="A916" s="27"/>
      <c r="B916" s="28"/>
      <c r="C916" s="9"/>
      <c r="D916" s="20"/>
    </row>
    <row r="917">
      <c r="A917" s="27"/>
      <c r="B917" s="28"/>
      <c r="C917" s="9"/>
      <c r="D917" s="20"/>
    </row>
    <row r="918">
      <c r="A918" s="27"/>
      <c r="B918" s="28"/>
      <c r="C918" s="9"/>
      <c r="D918" s="20"/>
    </row>
    <row r="919">
      <c r="A919" s="27"/>
      <c r="B919" s="28"/>
      <c r="C919" s="9"/>
      <c r="D919" s="20"/>
    </row>
    <row r="920">
      <c r="A920" s="27"/>
      <c r="B920" s="28"/>
      <c r="C920" s="9"/>
      <c r="D920" s="20"/>
    </row>
    <row r="921">
      <c r="A921" s="27"/>
      <c r="B921" s="28"/>
      <c r="C921" s="9"/>
      <c r="D921" s="20"/>
    </row>
    <row r="922">
      <c r="A922" s="27"/>
      <c r="B922" s="28"/>
      <c r="C922" s="9"/>
      <c r="D922" s="20"/>
    </row>
    <row r="923">
      <c r="A923" s="27"/>
      <c r="B923" s="28"/>
      <c r="C923" s="9"/>
      <c r="D923" s="20"/>
    </row>
    <row r="924">
      <c r="A924" s="27"/>
      <c r="B924" s="28"/>
      <c r="C924" s="9"/>
      <c r="D924" s="20"/>
    </row>
    <row r="925">
      <c r="A925" s="27"/>
      <c r="B925" s="28"/>
      <c r="C925" s="9"/>
      <c r="D925" s="20"/>
    </row>
    <row r="926">
      <c r="A926" s="27"/>
      <c r="B926" s="28"/>
      <c r="C926" s="9"/>
      <c r="D926" s="20"/>
    </row>
    <row r="927">
      <c r="A927" s="27"/>
      <c r="B927" s="28"/>
      <c r="C927" s="9"/>
      <c r="D927" s="20"/>
    </row>
    <row r="928">
      <c r="A928" s="27"/>
      <c r="B928" s="28"/>
      <c r="C928" s="9"/>
      <c r="D928" s="20"/>
    </row>
    <row r="929">
      <c r="A929" s="27"/>
      <c r="B929" s="28"/>
      <c r="C929" s="9"/>
      <c r="D929" s="20"/>
    </row>
    <row r="930">
      <c r="A930" s="27"/>
      <c r="B930" s="28"/>
      <c r="C930" s="9"/>
      <c r="D930" s="20"/>
    </row>
    <row r="931">
      <c r="A931" s="27"/>
      <c r="B931" s="28"/>
      <c r="C931" s="9"/>
      <c r="D931" s="20"/>
    </row>
    <row r="932">
      <c r="A932" s="27"/>
      <c r="B932" s="28"/>
      <c r="C932" s="9"/>
      <c r="D932" s="20"/>
    </row>
    <row r="933">
      <c r="A933" s="27"/>
      <c r="B933" s="28"/>
      <c r="C933" s="9"/>
      <c r="D933" s="20"/>
    </row>
    <row r="934">
      <c r="A934" s="27"/>
      <c r="B934" s="28"/>
      <c r="C934" s="9"/>
      <c r="D934" s="20"/>
    </row>
    <row r="935">
      <c r="A935" s="27"/>
      <c r="B935" s="28"/>
      <c r="C935" s="9"/>
      <c r="D935" s="20"/>
    </row>
    <row r="936">
      <c r="A936" s="27"/>
      <c r="B936" s="28"/>
      <c r="C936" s="9"/>
      <c r="D936" s="20"/>
    </row>
    <row r="937">
      <c r="A937" s="27"/>
      <c r="B937" s="28"/>
      <c r="C937" s="9"/>
      <c r="D937" s="20"/>
    </row>
    <row r="938">
      <c r="A938" s="27"/>
      <c r="B938" s="28"/>
      <c r="C938" s="9"/>
      <c r="D938" s="20"/>
    </row>
    <row r="939">
      <c r="A939" s="27"/>
      <c r="B939" s="28"/>
      <c r="C939" s="9"/>
      <c r="D939" s="20"/>
    </row>
    <row r="940">
      <c r="A940" s="27"/>
      <c r="B940" s="28"/>
      <c r="C940" s="9"/>
      <c r="D940" s="20"/>
    </row>
    <row r="941">
      <c r="A941" s="27"/>
      <c r="B941" s="28"/>
      <c r="C941" s="9"/>
      <c r="D941" s="20"/>
    </row>
    <row r="942">
      <c r="A942" s="27"/>
      <c r="B942" s="28"/>
      <c r="C942" s="9"/>
      <c r="D942" s="20"/>
    </row>
    <row r="943">
      <c r="A943" s="27"/>
      <c r="B943" s="28"/>
      <c r="C943" s="9"/>
      <c r="D943" s="20"/>
    </row>
    <row r="944">
      <c r="A944" s="27"/>
      <c r="B944" s="28"/>
      <c r="C944" s="9"/>
      <c r="D944" s="20"/>
    </row>
    <row r="945">
      <c r="A945" s="27"/>
      <c r="B945" s="28"/>
      <c r="C945" s="9"/>
      <c r="D945" s="20"/>
    </row>
    <row r="946">
      <c r="A946" s="27"/>
      <c r="B946" s="28"/>
      <c r="C946" s="9"/>
      <c r="D946" s="20"/>
    </row>
    <row r="947">
      <c r="A947" s="27"/>
      <c r="B947" s="28"/>
      <c r="C947" s="9"/>
      <c r="D947" s="20"/>
    </row>
    <row r="948">
      <c r="A948" s="27"/>
      <c r="B948" s="28"/>
      <c r="C948" s="9"/>
      <c r="D948" s="20"/>
    </row>
    <row r="949">
      <c r="A949" s="27"/>
      <c r="B949" s="28"/>
      <c r="C949" s="9"/>
      <c r="D949" s="20"/>
    </row>
    <row r="950">
      <c r="A950" s="27"/>
      <c r="B950" s="28"/>
      <c r="C950" s="9"/>
      <c r="D950" s="20"/>
    </row>
    <row r="951">
      <c r="A951" s="27"/>
      <c r="B951" s="28"/>
      <c r="C951" s="9"/>
      <c r="D951" s="20"/>
    </row>
    <row r="952">
      <c r="A952" s="27"/>
      <c r="B952" s="28"/>
      <c r="C952" s="9"/>
      <c r="D952" s="20"/>
    </row>
    <row r="953">
      <c r="A953" s="27"/>
      <c r="B953" s="28"/>
      <c r="C953" s="9"/>
      <c r="D953" s="20"/>
    </row>
    <row r="954">
      <c r="A954" s="27"/>
      <c r="B954" s="28"/>
      <c r="C954" s="9"/>
      <c r="D954" s="20"/>
    </row>
    <row r="955">
      <c r="A955" s="27"/>
      <c r="B955" s="28"/>
      <c r="C955" s="9"/>
      <c r="D955" s="20"/>
    </row>
    <row r="956">
      <c r="A956" s="27"/>
      <c r="B956" s="28"/>
      <c r="C956" s="9"/>
      <c r="D956" s="20"/>
    </row>
    <row r="957">
      <c r="A957" s="27"/>
      <c r="B957" s="28"/>
      <c r="C957" s="9"/>
      <c r="D957" s="20"/>
    </row>
    <row r="958">
      <c r="A958" s="27"/>
      <c r="B958" s="28"/>
      <c r="C958" s="9"/>
      <c r="D958" s="20"/>
    </row>
    <row r="959">
      <c r="A959" s="27"/>
      <c r="B959" s="28"/>
      <c r="C959" s="9"/>
      <c r="D959" s="20"/>
    </row>
    <row r="960">
      <c r="A960" s="27"/>
      <c r="B960" s="28"/>
      <c r="C960" s="9"/>
      <c r="D960" s="20"/>
    </row>
    <row r="961">
      <c r="A961" s="27"/>
      <c r="B961" s="28"/>
      <c r="C961" s="9"/>
      <c r="D961" s="20"/>
    </row>
    <row r="962">
      <c r="A962" s="27"/>
      <c r="B962" s="28"/>
      <c r="C962" s="9"/>
      <c r="D962" s="20"/>
    </row>
    <row r="963">
      <c r="A963" s="27"/>
      <c r="B963" s="28"/>
      <c r="C963" s="9"/>
      <c r="D963" s="20"/>
    </row>
    <row r="964">
      <c r="A964" s="27"/>
      <c r="B964" s="28"/>
      <c r="C964" s="9"/>
      <c r="D964" s="20"/>
    </row>
    <row r="965">
      <c r="A965" s="27"/>
      <c r="B965" s="28"/>
      <c r="C965" s="9"/>
      <c r="D965" s="20"/>
    </row>
    <row r="966">
      <c r="A966" s="27"/>
      <c r="B966" s="28"/>
      <c r="C966" s="9"/>
      <c r="D966" s="20"/>
    </row>
    <row r="967">
      <c r="A967" s="27"/>
      <c r="B967" s="28"/>
      <c r="C967" s="9"/>
      <c r="D967" s="20"/>
    </row>
    <row r="968">
      <c r="A968" s="27"/>
      <c r="B968" s="28"/>
      <c r="C968" s="9"/>
      <c r="D968" s="20"/>
    </row>
    <row r="969">
      <c r="A969" s="27"/>
      <c r="B969" s="28"/>
      <c r="C969" s="9"/>
      <c r="D969" s="20"/>
    </row>
    <row r="970">
      <c r="A970" s="27"/>
      <c r="B970" s="28"/>
      <c r="C970" s="9"/>
      <c r="D970" s="20"/>
    </row>
    <row r="971">
      <c r="A971" s="27"/>
      <c r="B971" s="28"/>
      <c r="C971" s="9"/>
      <c r="D971" s="20"/>
    </row>
    <row r="972">
      <c r="A972" s="27"/>
      <c r="B972" s="28"/>
      <c r="C972" s="9"/>
      <c r="D972" s="20"/>
    </row>
    <row r="973">
      <c r="A973" s="27"/>
      <c r="B973" s="28"/>
      <c r="C973" s="9"/>
      <c r="D973" s="20"/>
    </row>
    <row r="974">
      <c r="A974" s="27"/>
      <c r="B974" s="28"/>
      <c r="C974" s="9"/>
      <c r="D974" s="20"/>
    </row>
    <row r="975">
      <c r="A975" s="27"/>
      <c r="B975" s="28"/>
      <c r="C975" s="9"/>
      <c r="D975" s="20"/>
    </row>
    <row r="976">
      <c r="A976" s="27"/>
      <c r="B976" s="28"/>
      <c r="C976" s="9"/>
      <c r="D976" s="20"/>
    </row>
    <row r="977">
      <c r="A977" s="27"/>
      <c r="B977" s="28"/>
      <c r="C977" s="9"/>
      <c r="D977" s="20"/>
    </row>
    <row r="978">
      <c r="A978" s="27"/>
      <c r="B978" s="28"/>
      <c r="C978" s="9"/>
      <c r="D978" s="20"/>
    </row>
    <row r="979">
      <c r="A979" s="27"/>
      <c r="B979" s="28"/>
      <c r="C979" s="9"/>
      <c r="D979" s="20"/>
    </row>
    <row r="980">
      <c r="A980" s="27"/>
      <c r="B980" s="28"/>
      <c r="C980" s="9"/>
      <c r="D980" s="20"/>
    </row>
    <row r="981">
      <c r="A981" s="27"/>
      <c r="B981" s="28"/>
      <c r="C981" s="9"/>
      <c r="D981" s="20"/>
    </row>
    <row r="982">
      <c r="A982" s="27"/>
      <c r="B982" s="28"/>
      <c r="C982" s="9"/>
      <c r="D982" s="20"/>
    </row>
    <row r="983">
      <c r="A983" s="27"/>
      <c r="B983" s="28"/>
      <c r="C983" s="9"/>
      <c r="D983" s="20"/>
    </row>
    <row r="984">
      <c r="A984" s="27"/>
      <c r="B984" s="28"/>
      <c r="C984" s="9"/>
      <c r="D984" s="20"/>
    </row>
    <row r="985">
      <c r="A985" s="27"/>
      <c r="B985" s="28"/>
      <c r="C985" s="9"/>
      <c r="D985" s="20"/>
    </row>
    <row r="986">
      <c r="A986" s="27"/>
      <c r="B986" s="28"/>
      <c r="C986" s="9"/>
      <c r="D986" s="20"/>
    </row>
    <row r="987">
      <c r="A987" s="27"/>
      <c r="B987" s="28"/>
      <c r="C987" s="9"/>
      <c r="D987" s="20"/>
    </row>
    <row r="988">
      <c r="A988" s="27"/>
      <c r="B988" s="28"/>
      <c r="C988" s="9"/>
      <c r="D988" s="20"/>
    </row>
    <row r="989">
      <c r="A989" s="27"/>
      <c r="B989" s="28"/>
      <c r="C989" s="9"/>
      <c r="D989" s="20"/>
    </row>
    <row r="990">
      <c r="A990" s="27"/>
      <c r="B990" s="28"/>
      <c r="C990" s="9"/>
      <c r="D990" s="20"/>
    </row>
    <row r="991">
      <c r="A991" s="27"/>
      <c r="B991" s="28"/>
      <c r="C991" s="9"/>
      <c r="D991" s="20"/>
    </row>
    <row r="992">
      <c r="A992" s="27"/>
      <c r="B992" s="28"/>
      <c r="C992" s="9"/>
      <c r="D992" s="20"/>
    </row>
    <row r="993">
      <c r="A993" s="27"/>
      <c r="B993" s="28"/>
      <c r="C993" s="9"/>
      <c r="D993" s="20"/>
    </row>
    <row r="994">
      <c r="A994" s="27"/>
      <c r="B994" s="28"/>
      <c r="C994" s="9"/>
      <c r="D994" s="20"/>
    </row>
    <row r="995">
      <c r="A995" s="27"/>
      <c r="B995" s="28"/>
      <c r="C995" s="9"/>
      <c r="D995" s="20"/>
    </row>
    <row r="996">
      <c r="A996" s="27"/>
      <c r="B996" s="28"/>
      <c r="C996" s="9"/>
      <c r="D996" s="20"/>
    </row>
    <row r="997">
      <c r="A997" s="27"/>
      <c r="B997" s="28"/>
      <c r="C997" s="9"/>
      <c r="D997" s="20"/>
    </row>
    <row r="998">
      <c r="A998" s="27"/>
      <c r="B998" s="28"/>
      <c r="C998" s="9"/>
      <c r="D998" s="20"/>
    </row>
    <row r="999">
      <c r="A999" s="27"/>
      <c r="B999" s="28"/>
      <c r="C999" s="9"/>
      <c r="D999" s="20"/>
    </row>
    <row r="1000">
      <c r="A1000" s="27"/>
      <c r="B1000" s="28"/>
      <c r="C1000" s="9"/>
      <c r="D1000" s="20"/>
    </row>
    <row r="1001">
      <c r="A1001" s="27"/>
      <c r="B1001" s="28"/>
      <c r="C1001" s="9"/>
      <c r="D1001" s="20"/>
    </row>
    <row r="1002">
      <c r="A1002" s="27"/>
      <c r="B1002" s="28"/>
      <c r="C1002" s="9"/>
      <c r="D1002" s="20"/>
    </row>
    <row r="1003">
      <c r="A1003" s="27"/>
      <c r="B1003" s="28"/>
      <c r="C1003" s="9"/>
      <c r="D1003" s="20"/>
    </row>
    <row r="1004">
      <c r="A1004" s="27"/>
      <c r="B1004" s="28"/>
      <c r="C1004" s="9"/>
      <c r="D1004" s="20"/>
    </row>
    <row r="1005">
      <c r="A1005" s="27"/>
      <c r="B1005" s="28"/>
      <c r="C1005" s="9"/>
      <c r="D1005" s="20"/>
    </row>
    <row r="1006">
      <c r="A1006" s="27"/>
      <c r="B1006" s="28"/>
      <c r="C1006" s="9"/>
      <c r="D1006" s="2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15" t="s">
        <v>18</v>
      </c>
      <c r="D1" s="15" t="s">
        <v>19</v>
      </c>
    </row>
    <row r="2">
      <c r="A2" s="8">
        <v>45986.0</v>
      </c>
      <c r="B2" s="6">
        <v>87342.0</v>
      </c>
      <c r="C2" s="29">
        <f>(B2-B7)/B7*100</f>
        <v>0.8207223742</v>
      </c>
      <c r="D2" s="29" t="str">
        <f t="shared" ref="D2:D7" si="1">IF((B2 - B3) &gt; 0, "UP", IF((B2 - B3) &lt; 0, "DOWN", "FLAT"))</f>
        <v>DOWN</v>
      </c>
    </row>
    <row r="3">
      <c r="A3" s="10">
        <v>45985.0</v>
      </c>
      <c r="B3" s="6">
        <v>88271.0</v>
      </c>
      <c r="D3" s="29" t="str">
        <f t="shared" si="1"/>
        <v>DOWN</v>
      </c>
    </row>
    <row r="4">
      <c r="A4" s="11">
        <v>45984.0</v>
      </c>
      <c r="B4" s="12">
        <v>88859.0</v>
      </c>
      <c r="D4" s="29" t="str">
        <f t="shared" si="1"/>
        <v>UP</v>
      </c>
    </row>
    <row r="5">
      <c r="A5" s="13">
        <v>45983.0</v>
      </c>
      <c r="B5" s="14">
        <v>84648.0</v>
      </c>
      <c r="D5" s="29" t="str">
        <f t="shared" si="1"/>
        <v>DOWN</v>
      </c>
    </row>
    <row r="6">
      <c r="A6" s="13">
        <v>45982.0</v>
      </c>
      <c r="B6" s="14">
        <v>85091.0</v>
      </c>
      <c r="D6" s="29" t="str">
        <f t="shared" si="1"/>
        <v>DOWN</v>
      </c>
    </row>
    <row r="7">
      <c r="A7" s="13">
        <v>45981.0</v>
      </c>
      <c r="B7" s="14">
        <v>86631.0</v>
      </c>
      <c r="D7" s="29" t="str">
        <f t="shared" si="1"/>
        <v>UP</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1">
      <c r="A21" s="15" t="s">
        <v>20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30" t="s">
        <v>1</v>
      </c>
    </row>
    <row r="2">
      <c r="A2" s="31">
        <v>45970.0</v>
      </c>
      <c r="B2" s="30">
        <v>104720.0</v>
      </c>
    </row>
    <row r="3">
      <c r="A3" s="31">
        <v>45969.0</v>
      </c>
      <c r="B3" s="30">
        <v>102282.0</v>
      </c>
    </row>
    <row r="4">
      <c r="A4" s="31">
        <v>45968.0</v>
      </c>
      <c r="B4" s="30">
        <v>103372.0</v>
      </c>
    </row>
    <row r="5">
      <c r="A5" s="31">
        <v>45967.0</v>
      </c>
      <c r="B5" s="30">
        <v>101301.0</v>
      </c>
    </row>
    <row r="6">
      <c r="A6" s="31">
        <v>45966.0</v>
      </c>
      <c r="B6" s="30">
        <v>103892.0</v>
      </c>
    </row>
    <row r="7">
      <c r="A7" s="31">
        <v>45965.0</v>
      </c>
      <c r="B7" s="30">
        <v>101591.0</v>
      </c>
    </row>
    <row r="8">
      <c r="A8" s="31">
        <v>45964.0</v>
      </c>
      <c r="B8" s="30">
        <v>106548.0</v>
      </c>
    </row>
    <row r="9">
      <c r="A9" s="31">
        <v>45963.0</v>
      </c>
      <c r="B9" s="30">
        <v>110640.0</v>
      </c>
    </row>
    <row r="10">
      <c r="A10" s="31">
        <v>45962.0</v>
      </c>
      <c r="B10" s="30">
        <v>110064.0</v>
      </c>
    </row>
    <row r="11">
      <c r="A11" s="31">
        <v>45961.0</v>
      </c>
      <c r="B11" s="30">
        <v>109556.0</v>
      </c>
    </row>
    <row r="12">
      <c r="A12" s="31">
        <v>45960.0</v>
      </c>
      <c r="B12" s="30">
        <v>108306.0</v>
      </c>
    </row>
    <row r="13">
      <c r="A13" s="31">
        <v>45959.0</v>
      </c>
      <c r="B13" s="30">
        <v>110055.0</v>
      </c>
    </row>
    <row r="14">
      <c r="A14" s="31">
        <v>45958.0</v>
      </c>
      <c r="B14" s="30">
        <v>112956.0</v>
      </c>
    </row>
    <row r="15">
      <c r="A15" s="31">
        <v>45957.0</v>
      </c>
      <c r="B15" s="30">
        <v>114119.0</v>
      </c>
    </row>
    <row r="16">
      <c r="A16" s="31">
        <v>45956.0</v>
      </c>
      <c r="B16" s="30">
        <v>114472.0</v>
      </c>
    </row>
    <row r="17">
      <c r="A17" s="31">
        <v>45955.0</v>
      </c>
      <c r="B17" s="30">
        <v>111642.0</v>
      </c>
    </row>
    <row r="18">
      <c r="A18" s="31">
        <v>45954.0</v>
      </c>
      <c r="B18" s="30">
        <v>111034.0</v>
      </c>
    </row>
    <row r="19">
      <c r="A19" s="31">
        <v>45953.0</v>
      </c>
      <c r="B19" s="30">
        <v>110070.0</v>
      </c>
    </row>
    <row r="20">
      <c r="A20" s="31">
        <v>45952.0</v>
      </c>
      <c r="B20" s="30">
        <v>107689.0</v>
      </c>
    </row>
    <row r="21">
      <c r="A21" s="31">
        <v>45951.0</v>
      </c>
      <c r="B21" s="30">
        <v>108477.0</v>
      </c>
    </row>
    <row r="22">
      <c r="A22" s="31">
        <v>45950.0</v>
      </c>
      <c r="B22" s="30">
        <v>110589.0</v>
      </c>
    </row>
    <row r="23">
      <c r="A23" s="31">
        <v>45949.0</v>
      </c>
      <c r="B23" s="30">
        <v>108667.0</v>
      </c>
    </row>
    <row r="24">
      <c r="A24" s="31">
        <v>45948.0</v>
      </c>
      <c r="B24" s="30">
        <v>107198.0</v>
      </c>
    </row>
    <row r="25">
      <c r="A25" s="31">
        <v>45947.0</v>
      </c>
      <c r="B25" s="30">
        <v>106468.0</v>
      </c>
    </row>
    <row r="26">
      <c r="A26" s="31">
        <v>45946.0</v>
      </c>
      <c r="B26" s="30">
        <v>108186.0</v>
      </c>
    </row>
    <row r="27">
      <c r="A27" s="31">
        <v>45945.0</v>
      </c>
      <c r="B27" s="30">
        <v>110783.0</v>
      </c>
    </row>
    <row r="28">
      <c r="A28" s="31">
        <v>45944.0</v>
      </c>
      <c r="B28" s="30">
        <v>113119.0</v>
      </c>
      <c r="C28" s="15" t="s">
        <v>21</v>
      </c>
    </row>
    <row r="29">
      <c r="A29" s="31">
        <v>45943.0</v>
      </c>
      <c r="B29" s="30">
        <v>115271.0</v>
      </c>
      <c r="C29" s="15" t="s">
        <v>22</v>
      </c>
    </row>
    <row r="30">
      <c r="A30" s="31">
        <v>45942.0</v>
      </c>
      <c r="B30" s="30">
        <v>115170.0</v>
      </c>
    </row>
    <row r="31">
      <c r="A31" s="31">
        <v>45941.0</v>
      </c>
      <c r="B31" s="30">
        <v>110808.0</v>
      </c>
    </row>
    <row r="32">
      <c r="A32" s="31">
        <v>45940.0</v>
      </c>
      <c r="B32" s="30">
        <v>113214.0</v>
      </c>
    </row>
    <row r="33">
      <c r="A33" s="31">
        <v>45939.0</v>
      </c>
      <c r="B33" s="30">
        <v>121706.0</v>
      </c>
    </row>
    <row r="34">
      <c r="A34" s="31">
        <v>45938.0</v>
      </c>
      <c r="B34" s="30">
        <v>123355.0</v>
      </c>
    </row>
    <row r="35">
      <c r="A35" s="31">
        <v>45937.0</v>
      </c>
      <c r="B35" s="30">
        <v>121451.0</v>
      </c>
    </row>
    <row r="36">
      <c r="A36" s="31">
        <v>45936.0</v>
      </c>
      <c r="B36" s="30">
        <v>124753.0</v>
      </c>
    </row>
    <row r="37">
      <c r="A37" s="31">
        <v>45935.0</v>
      </c>
      <c r="B37" s="30">
        <v>123513.0</v>
      </c>
    </row>
    <row r="38">
      <c r="A38" s="31">
        <v>45934.0</v>
      </c>
      <c r="B38" s="30">
        <v>122425.0</v>
      </c>
    </row>
    <row r="39">
      <c r="A39" s="31">
        <v>45933.0</v>
      </c>
      <c r="B39" s="30">
        <v>122267.0</v>
      </c>
    </row>
    <row r="40">
      <c r="A40" s="31">
        <v>45932.0</v>
      </c>
      <c r="B40" s="30">
        <v>120681.0</v>
      </c>
    </row>
    <row r="41">
      <c r="A41" s="31">
        <v>45931.0</v>
      </c>
      <c r="B41" s="30">
        <v>118649.0</v>
      </c>
    </row>
    <row r="42">
      <c r="A42" s="31">
        <v>45930.0</v>
      </c>
      <c r="B42" s="30">
        <v>114056.0</v>
      </c>
    </row>
    <row r="43">
      <c r="A43" s="31">
        <v>45929.0</v>
      </c>
      <c r="B43" s="30">
        <v>114400.0</v>
      </c>
    </row>
    <row r="44">
      <c r="A44" s="31">
        <v>45928.0</v>
      </c>
      <c r="B44" s="30">
        <v>112123.0</v>
      </c>
    </row>
    <row r="45">
      <c r="A45" s="31">
        <v>45927.0</v>
      </c>
      <c r="B45" s="30">
        <v>109682.0</v>
      </c>
    </row>
    <row r="46">
      <c r="A46" s="31">
        <v>45926.0</v>
      </c>
      <c r="B46" s="30">
        <v>109713.0</v>
      </c>
    </row>
    <row r="47">
      <c r="A47" s="31">
        <v>45925.0</v>
      </c>
      <c r="B47" s="30">
        <v>109049.0</v>
      </c>
    </row>
    <row r="48">
      <c r="A48" s="31">
        <v>45924.0</v>
      </c>
      <c r="B48" s="30">
        <v>113329.0</v>
      </c>
    </row>
    <row r="49">
      <c r="A49" s="31">
        <v>45923.0</v>
      </c>
      <c r="B49" s="30">
        <v>112014.0</v>
      </c>
    </row>
    <row r="50">
      <c r="A50" s="31">
        <v>45922.0</v>
      </c>
      <c r="B50" s="30">
        <v>112749.0</v>
      </c>
    </row>
    <row r="51">
      <c r="A51" s="31">
        <v>45921.0</v>
      </c>
      <c r="B51" s="30">
        <v>115306.0</v>
      </c>
    </row>
    <row r="52">
      <c r="A52" s="31">
        <v>45920.0</v>
      </c>
      <c r="B52" s="30">
        <v>115722.0</v>
      </c>
    </row>
    <row r="53">
      <c r="A53" s="31">
        <v>45919.0</v>
      </c>
      <c r="B53" s="30">
        <v>115689.0</v>
      </c>
    </row>
    <row r="54">
      <c r="A54" s="31">
        <v>45918.0</v>
      </c>
      <c r="B54" s="30">
        <v>117137.0</v>
      </c>
    </row>
    <row r="55">
      <c r="A55" s="31">
        <v>45917.0</v>
      </c>
      <c r="B55" s="30">
        <v>116469.0</v>
      </c>
    </row>
    <row r="56">
      <c r="A56" s="31">
        <v>45916.0</v>
      </c>
      <c r="B56" s="30">
        <v>116843.0</v>
      </c>
    </row>
    <row r="57">
      <c r="A57" s="31">
        <v>45915.0</v>
      </c>
      <c r="B57" s="30">
        <v>115445.0</v>
      </c>
    </row>
    <row r="58">
      <c r="A58" s="31">
        <v>45914.0</v>
      </c>
      <c r="B58" s="30">
        <v>115408.0</v>
      </c>
    </row>
    <row r="59">
      <c r="A59" s="31">
        <v>45913.0</v>
      </c>
      <c r="B59" s="30">
        <v>115951.0</v>
      </c>
    </row>
    <row r="60">
      <c r="A60" s="31">
        <v>45912.0</v>
      </c>
      <c r="B60" s="30">
        <v>116102.0</v>
      </c>
    </row>
    <row r="61">
      <c r="A61" s="31">
        <v>45911.0</v>
      </c>
      <c r="B61" s="30">
        <v>115508.0</v>
      </c>
    </row>
    <row r="62">
      <c r="A62" s="31">
        <v>45910.0</v>
      </c>
      <c r="B62" s="30">
        <v>113955.0</v>
      </c>
    </row>
    <row r="63">
      <c r="A63" s="31">
        <v>45909.0</v>
      </c>
      <c r="B63" s="30">
        <v>111531.0</v>
      </c>
    </row>
    <row r="64">
      <c r="A64" s="31">
        <v>45908.0</v>
      </c>
      <c r="B64" s="30">
        <v>112071.0</v>
      </c>
    </row>
    <row r="65">
      <c r="A65" s="31">
        <v>45907.0</v>
      </c>
      <c r="B65" s="30">
        <v>111168.0</v>
      </c>
    </row>
    <row r="66">
      <c r="A66" s="31">
        <v>45906.0</v>
      </c>
      <c r="B66" s="30">
        <v>110225.0</v>
      </c>
    </row>
    <row r="67">
      <c r="A67" s="31">
        <v>45905.0</v>
      </c>
      <c r="B67" s="30">
        <v>110651.0</v>
      </c>
    </row>
    <row r="68">
      <c r="A68" s="31">
        <v>45904.0</v>
      </c>
      <c r="B68" s="30">
        <v>110724.0</v>
      </c>
    </row>
    <row r="69">
      <c r="A69" s="31">
        <v>45903.0</v>
      </c>
      <c r="B69" s="30">
        <v>111723.0</v>
      </c>
    </row>
    <row r="70">
      <c r="A70" s="31">
        <v>45902.0</v>
      </c>
      <c r="B70" s="30">
        <v>111201.0</v>
      </c>
    </row>
    <row r="71">
      <c r="A71" s="31">
        <v>45901.0</v>
      </c>
      <c r="B71" s="30">
        <v>109251.0</v>
      </c>
    </row>
    <row r="72">
      <c r="A72" s="31">
        <v>45900.0</v>
      </c>
      <c r="B72" s="30">
        <v>108237.0</v>
      </c>
    </row>
    <row r="73">
      <c r="A73" s="31">
        <v>45899.0</v>
      </c>
      <c r="B73" s="30">
        <v>108808.0</v>
      </c>
    </row>
    <row r="74">
      <c r="A74" s="31">
        <v>45898.0</v>
      </c>
      <c r="B74" s="30">
        <v>108411.0</v>
      </c>
    </row>
    <row r="75">
      <c r="A75" s="31">
        <v>45897.0</v>
      </c>
      <c r="B75" s="30">
        <v>112545.0</v>
      </c>
    </row>
    <row r="76">
      <c r="A76" s="31">
        <v>45896.0</v>
      </c>
      <c r="B76" s="30">
        <v>111222.0</v>
      </c>
    </row>
    <row r="77">
      <c r="A77" s="31">
        <v>45895.0</v>
      </c>
      <c r="B77" s="30">
        <v>111803.0</v>
      </c>
    </row>
    <row r="78">
      <c r="A78" s="31">
        <v>45894.0</v>
      </c>
      <c r="B78" s="30">
        <v>110124.0</v>
      </c>
    </row>
    <row r="79">
      <c r="A79" s="31">
        <v>45893.0</v>
      </c>
      <c r="B79" s="30">
        <v>113458.0</v>
      </c>
    </row>
    <row r="80">
      <c r="A80" s="31">
        <v>45892.0</v>
      </c>
      <c r="B80" s="30">
        <v>115374.0</v>
      </c>
    </row>
    <row r="81">
      <c r="A81" s="31">
        <v>45891.0</v>
      </c>
      <c r="B81" s="30">
        <v>116874.0</v>
      </c>
    </row>
    <row r="82">
      <c r="A82" s="31">
        <v>45890.0</v>
      </c>
      <c r="B82" s="30">
        <v>112419.0</v>
      </c>
    </row>
    <row r="83">
      <c r="A83" s="31">
        <v>45889.0</v>
      </c>
      <c r="B83" s="30">
        <v>114275.0</v>
      </c>
    </row>
    <row r="84">
      <c r="A84" s="31">
        <v>45888.0</v>
      </c>
      <c r="B84" s="30">
        <v>112831.0</v>
      </c>
    </row>
    <row r="85">
      <c r="A85" s="31">
        <v>45887.0</v>
      </c>
      <c r="B85" s="30">
        <v>116252.0</v>
      </c>
    </row>
    <row r="86">
      <c r="A86" s="31">
        <v>45886.0</v>
      </c>
      <c r="B86" s="30">
        <v>117453.0</v>
      </c>
    </row>
    <row r="87">
      <c r="A87" s="31">
        <v>45885.0</v>
      </c>
      <c r="B87" s="30">
        <v>117491.0</v>
      </c>
    </row>
    <row r="88">
      <c r="A88" s="31">
        <v>45884.0</v>
      </c>
      <c r="B88" s="30">
        <v>117398.0</v>
      </c>
    </row>
    <row r="89">
      <c r="A89" s="31">
        <v>45883.0</v>
      </c>
      <c r="B89" s="30">
        <v>118360.0</v>
      </c>
    </row>
    <row r="90">
      <c r="A90" s="31">
        <v>45882.0</v>
      </c>
      <c r="B90" s="30">
        <v>123344.0</v>
      </c>
    </row>
    <row r="91">
      <c r="A91" s="31">
        <v>45881.0</v>
      </c>
      <c r="B91" s="30">
        <v>120173.0</v>
      </c>
    </row>
    <row r="92">
      <c r="A92" s="31">
        <v>45880.0</v>
      </c>
      <c r="B92" s="30">
        <v>118731.0</v>
      </c>
    </row>
    <row r="93">
      <c r="A93" s="31">
        <v>45879.0</v>
      </c>
      <c r="B93" s="30">
        <v>119307.0</v>
      </c>
    </row>
    <row r="94">
      <c r="A94" s="31">
        <v>45878.0</v>
      </c>
      <c r="B94" s="30">
        <v>116500.0</v>
      </c>
    </row>
    <row r="95">
      <c r="A95" s="31">
        <v>45877.0</v>
      </c>
      <c r="B95" s="30">
        <v>116689.0</v>
      </c>
    </row>
    <row r="96">
      <c r="A96" s="31">
        <v>45876.0</v>
      </c>
      <c r="B96" s="30">
        <v>117497.0</v>
      </c>
    </row>
    <row r="97">
      <c r="A97" s="31">
        <v>45875.0</v>
      </c>
      <c r="B97" s="30">
        <v>115028.0</v>
      </c>
    </row>
    <row r="98">
      <c r="A98" s="31">
        <v>45874.0</v>
      </c>
      <c r="B98" s="30">
        <v>114141.0</v>
      </c>
    </row>
    <row r="99">
      <c r="A99" s="31">
        <v>45873.0</v>
      </c>
      <c r="B99" s="30">
        <v>115072.0</v>
      </c>
    </row>
    <row r="100">
      <c r="A100" s="31">
        <v>45872.0</v>
      </c>
      <c r="B100" s="30">
        <v>114218.0</v>
      </c>
    </row>
    <row r="101">
      <c r="A101" s="31">
        <v>45871.0</v>
      </c>
      <c r="B101" s="30">
        <v>112527.0</v>
      </c>
    </row>
    <row r="102">
      <c r="A102" s="31">
        <v>45870.0</v>
      </c>
      <c r="B102" s="30">
        <v>113320.0</v>
      </c>
    </row>
    <row r="103">
      <c r="A103" s="31">
        <v>45869.0</v>
      </c>
      <c r="B103" s="30">
        <v>115758.0</v>
      </c>
    </row>
    <row r="104">
      <c r="A104" s="31">
        <v>45868.0</v>
      </c>
      <c r="B104" s="30">
        <v>117831.0</v>
      </c>
    </row>
    <row r="105">
      <c r="A105" s="31">
        <v>45867.0</v>
      </c>
      <c r="B105" s="30">
        <v>117922.0</v>
      </c>
    </row>
    <row r="106">
      <c r="A106" s="31">
        <v>45866.0</v>
      </c>
      <c r="B106" s="30">
        <v>117924.0</v>
      </c>
    </row>
    <row r="107">
      <c r="A107" s="31">
        <v>45865.0</v>
      </c>
      <c r="B107" s="30">
        <v>119448.0</v>
      </c>
    </row>
    <row r="108">
      <c r="A108" s="31">
        <v>45864.0</v>
      </c>
      <c r="B108" s="30">
        <v>117947.0</v>
      </c>
    </row>
    <row r="109">
      <c r="A109" s="31">
        <v>45863.0</v>
      </c>
      <c r="B109" s="30">
        <v>117636.0</v>
      </c>
    </row>
    <row r="110">
      <c r="A110" s="31">
        <v>45862.0</v>
      </c>
      <c r="B110" s="30">
        <v>118368.0</v>
      </c>
    </row>
    <row r="111">
      <c r="A111" s="31">
        <v>45861.0</v>
      </c>
      <c r="B111" s="30">
        <v>118755.0</v>
      </c>
    </row>
    <row r="112">
      <c r="A112" s="31">
        <v>45860.0</v>
      </c>
      <c r="B112" s="30">
        <v>119995.0</v>
      </c>
    </row>
    <row r="113">
      <c r="A113" s="31">
        <v>45859.0</v>
      </c>
      <c r="B113" s="30">
        <v>117440.0</v>
      </c>
    </row>
    <row r="114">
      <c r="A114" s="31">
        <v>45858.0</v>
      </c>
      <c r="B114" s="30">
        <v>117301.0</v>
      </c>
    </row>
    <row r="115">
      <c r="A115" s="31">
        <v>45857.0</v>
      </c>
      <c r="B115" s="30">
        <v>117940.0</v>
      </c>
    </row>
    <row r="116">
      <c r="A116" s="31">
        <v>45856.0</v>
      </c>
      <c r="B116" s="30">
        <v>118003.0</v>
      </c>
    </row>
    <row r="117">
      <c r="A117" s="31">
        <v>45855.0</v>
      </c>
      <c r="B117" s="30">
        <v>119290.0</v>
      </c>
    </row>
    <row r="118">
      <c r="A118" s="31">
        <v>45854.0</v>
      </c>
      <c r="B118" s="30">
        <v>118739.0</v>
      </c>
    </row>
    <row r="119">
      <c r="A119" s="31">
        <v>45853.0</v>
      </c>
      <c r="B119" s="30">
        <v>117777.0</v>
      </c>
    </row>
    <row r="120">
      <c r="A120" s="31">
        <v>45852.0</v>
      </c>
      <c r="B120" s="30">
        <v>119850.0</v>
      </c>
    </row>
    <row r="121">
      <c r="A121" s="31">
        <v>45851.0</v>
      </c>
      <c r="B121" s="30">
        <v>119116.0</v>
      </c>
    </row>
    <row r="122">
      <c r="A122" s="31">
        <v>45850.0</v>
      </c>
      <c r="B122" s="30">
        <v>117435.0</v>
      </c>
    </row>
    <row r="123">
      <c r="A123" s="31">
        <v>45849.0</v>
      </c>
      <c r="B123" s="30">
        <v>117517.0</v>
      </c>
    </row>
    <row r="124">
      <c r="A124" s="31">
        <v>45848.0</v>
      </c>
      <c r="B124" s="30">
        <v>115987.0</v>
      </c>
    </row>
    <row r="125">
      <c r="A125" s="31">
        <v>45847.0</v>
      </c>
      <c r="B125" s="30">
        <v>111327.0</v>
      </c>
    </row>
    <row r="126">
      <c r="A126" s="31">
        <v>45846.0</v>
      </c>
      <c r="B126" s="30">
        <v>108950.0</v>
      </c>
    </row>
    <row r="127">
      <c r="A127" s="31">
        <v>45845.0</v>
      </c>
      <c r="B127" s="30">
        <v>108300.0</v>
      </c>
    </row>
    <row r="128">
      <c r="A128" s="31">
        <v>45844.0</v>
      </c>
      <c r="B128" s="30">
        <v>109232.0</v>
      </c>
    </row>
    <row r="129">
      <c r="A129" s="31">
        <v>45843.0</v>
      </c>
      <c r="B129" s="30">
        <v>108231.0</v>
      </c>
    </row>
    <row r="130">
      <c r="A130" s="31">
        <v>45842.0</v>
      </c>
      <c r="B130" s="30">
        <v>108034.0</v>
      </c>
    </row>
    <row r="131">
      <c r="A131" s="31">
        <v>45841.0</v>
      </c>
      <c r="B131" s="30">
        <v>109648.0</v>
      </c>
    </row>
    <row r="132">
      <c r="A132" s="31">
        <v>45840.0</v>
      </c>
      <c r="B132" s="30">
        <v>108859.0</v>
      </c>
    </row>
    <row r="133">
      <c r="A133" s="31">
        <v>45839.0</v>
      </c>
      <c r="B133" s="30">
        <v>105698.0</v>
      </c>
    </row>
    <row r="134">
      <c r="A134" s="31">
        <v>45838.0</v>
      </c>
      <c r="B134" s="30">
        <v>107135.0</v>
      </c>
    </row>
    <row r="135">
      <c r="A135" s="31">
        <v>45837.0</v>
      </c>
      <c r="B135" s="30">
        <v>108386.0</v>
      </c>
    </row>
    <row r="136">
      <c r="A136" s="31">
        <v>45836.0</v>
      </c>
      <c r="B136" s="30">
        <v>107328.0</v>
      </c>
    </row>
    <row r="137">
      <c r="A137" s="31">
        <v>45835.0</v>
      </c>
      <c r="B137" s="30">
        <v>107088.0</v>
      </c>
    </row>
    <row r="138">
      <c r="A138" s="31">
        <v>45834.0</v>
      </c>
      <c r="B138" s="30">
        <v>106960.0</v>
      </c>
    </row>
    <row r="139">
      <c r="A139" s="31">
        <v>45833.0</v>
      </c>
      <c r="B139" s="30">
        <v>107361.0</v>
      </c>
    </row>
    <row r="140">
      <c r="A140" s="31">
        <v>45832.0</v>
      </c>
      <c r="B140" s="30">
        <v>106046.0</v>
      </c>
    </row>
    <row r="141">
      <c r="A141" s="31">
        <v>45831.0</v>
      </c>
      <c r="B141" s="30">
        <v>105578.0</v>
      </c>
    </row>
    <row r="142">
      <c r="A142" s="31">
        <v>45830.0</v>
      </c>
      <c r="B142" s="30">
        <v>100987.0</v>
      </c>
    </row>
    <row r="143">
      <c r="A143" s="31">
        <v>45829.0</v>
      </c>
      <c r="B143" s="30">
        <v>102257.0</v>
      </c>
    </row>
    <row r="144">
      <c r="A144" s="31">
        <v>45828.0</v>
      </c>
      <c r="B144" s="30">
        <v>103310.0</v>
      </c>
    </row>
    <row r="145">
      <c r="A145" s="31">
        <v>45827.0</v>
      </c>
      <c r="B145" s="30">
        <v>104684.0</v>
      </c>
    </row>
    <row r="146">
      <c r="A146" s="31">
        <v>45826.0</v>
      </c>
      <c r="B146" s="30">
        <v>104883.0</v>
      </c>
    </row>
    <row r="147">
      <c r="A147" s="31">
        <v>45825.0</v>
      </c>
      <c r="B147" s="30">
        <v>104601.0</v>
      </c>
    </row>
    <row r="148">
      <c r="A148" s="31">
        <v>45824.0</v>
      </c>
      <c r="B148" s="30">
        <v>106797.0</v>
      </c>
    </row>
    <row r="149">
      <c r="A149" s="31">
        <v>45823.0</v>
      </c>
      <c r="B149" s="30">
        <v>105552.0</v>
      </c>
    </row>
    <row r="150">
      <c r="A150" s="31">
        <v>45822.0</v>
      </c>
      <c r="B150" s="30">
        <v>105472.0</v>
      </c>
    </row>
    <row r="151">
      <c r="A151" s="31">
        <v>45821.0</v>
      </c>
      <c r="B151" s="30">
        <v>106091.0</v>
      </c>
    </row>
    <row r="152">
      <c r="A152" s="31">
        <v>45820.0</v>
      </c>
      <c r="B152" s="30">
        <v>105929.0</v>
      </c>
    </row>
    <row r="153">
      <c r="A153" s="31">
        <v>45819.0</v>
      </c>
      <c r="B153" s="30">
        <v>108687.0</v>
      </c>
    </row>
    <row r="154">
      <c r="A154" s="31">
        <v>45818.0</v>
      </c>
      <c r="B154" s="30">
        <v>110257.0</v>
      </c>
    </row>
    <row r="155">
      <c r="A155" s="31">
        <v>45817.0</v>
      </c>
      <c r="B155" s="30">
        <v>110294.0</v>
      </c>
    </row>
    <row r="156">
      <c r="A156" s="31">
        <v>45816.0</v>
      </c>
      <c r="B156" s="30">
        <v>105794.0</v>
      </c>
    </row>
    <row r="157">
      <c r="A157" s="31">
        <v>45815.0</v>
      </c>
      <c r="B157" s="30">
        <v>105616.0</v>
      </c>
    </row>
    <row r="158">
      <c r="A158" s="31">
        <v>45814.0</v>
      </c>
      <c r="B158" s="30">
        <v>104390.0</v>
      </c>
    </row>
    <row r="159">
      <c r="A159" s="31">
        <v>45813.0</v>
      </c>
      <c r="B159" s="30">
        <v>101576.0</v>
      </c>
    </row>
    <row r="160">
      <c r="A160" s="31">
        <v>45812.0</v>
      </c>
      <c r="B160" s="30">
        <v>104732.0</v>
      </c>
    </row>
    <row r="161">
      <c r="A161" s="31">
        <v>45811.0</v>
      </c>
      <c r="B161" s="30">
        <v>105432.0</v>
      </c>
    </row>
    <row r="162">
      <c r="A162" s="31">
        <v>45810.0</v>
      </c>
      <c r="B162" s="30">
        <v>105882.0</v>
      </c>
    </row>
    <row r="163">
      <c r="A163" s="31">
        <v>45809.0</v>
      </c>
      <c r="B163" s="30">
        <v>105652.0</v>
      </c>
    </row>
    <row r="164">
      <c r="A164" s="31">
        <v>45808.0</v>
      </c>
      <c r="B164" s="30">
        <v>104638.0</v>
      </c>
    </row>
    <row r="165">
      <c r="A165" s="31">
        <v>45807.0</v>
      </c>
      <c r="B165" s="30">
        <v>103999.0</v>
      </c>
    </row>
    <row r="166">
      <c r="A166" s="31">
        <v>45806.0</v>
      </c>
      <c r="B166" s="30">
        <v>105642.0</v>
      </c>
    </row>
    <row r="167">
      <c r="A167" s="31">
        <v>45805.0</v>
      </c>
      <c r="B167" s="30">
        <v>107802.0</v>
      </c>
    </row>
    <row r="168">
      <c r="A168" s="31">
        <v>45804.0</v>
      </c>
      <c r="B168" s="30">
        <v>108995.0</v>
      </c>
    </row>
    <row r="169">
      <c r="A169" s="31">
        <v>45803.0</v>
      </c>
      <c r="B169" s="30">
        <v>109440.0</v>
      </c>
    </row>
    <row r="170">
      <c r="A170" s="31">
        <v>45802.0</v>
      </c>
      <c r="B170" s="30">
        <v>109035.0</v>
      </c>
    </row>
    <row r="171">
      <c r="A171" s="31">
        <v>45801.0</v>
      </c>
      <c r="B171" s="30">
        <v>107791.0</v>
      </c>
    </row>
    <row r="172">
      <c r="A172" s="31">
        <v>45800.0</v>
      </c>
      <c r="B172" s="30">
        <v>107288.0</v>
      </c>
    </row>
    <row r="173">
      <c r="A173" s="31">
        <v>45799.0</v>
      </c>
      <c r="B173" s="30">
        <v>111673.0</v>
      </c>
    </row>
    <row r="174">
      <c r="A174" s="31">
        <v>45798.0</v>
      </c>
      <c r="B174" s="30">
        <v>109678.0</v>
      </c>
    </row>
    <row r="175">
      <c r="A175" s="31">
        <v>45797.0</v>
      </c>
      <c r="B175" s="30">
        <v>106791.0</v>
      </c>
    </row>
    <row r="176">
      <c r="A176" s="31">
        <v>45796.0</v>
      </c>
      <c r="B176" s="30">
        <v>105606.0</v>
      </c>
    </row>
    <row r="177">
      <c r="A177" s="31">
        <v>45795.0</v>
      </c>
      <c r="B177" s="30">
        <v>106446.0</v>
      </c>
    </row>
    <row r="178">
      <c r="A178" s="31">
        <v>45794.0</v>
      </c>
      <c r="B178" s="30">
        <v>103191.0</v>
      </c>
    </row>
    <row r="179">
      <c r="A179" s="31">
        <v>45793.0</v>
      </c>
      <c r="B179" s="30">
        <v>103489.0</v>
      </c>
    </row>
    <row r="180">
      <c r="A180" s="31">
        <v>45792.0</v>
      </c>
      <c r="B180" s="30">
        <v>103745.0</v>
      </c>
    </row>
    <row r="181">
      <c r="A181" s="31">
        <v>45791.0</v>
      </c>
      <c r="B181" s="30">
        <v>103539.0</v>
      </c>
    </row>
    <row r="182">
      <c r="A182" s="31">
        <v>45790.0</v>
      </c>
      <c r="B182" s="30">
        <v>104170.0</v>
      </c>
    </row>
    <row r="183">
      <c r="A183" s="31">
        <v>45789.0</v>
      </c>
      <c r="B183" s="30">
        <v>102813.0</v>
      </c>
    </row>
    <row r="184">
      <c r="A184" s="31">
        <v>45788.0</v>
      </c>
      <c r="B184" s="30">
        <v>104106.0</v>
      </c>
    </row>
    <row r="185">
      <c r="A185" s="31">
        <v>45787.0</v>
      </c>
      <c r="B185" s="30">
        <v>104696.0</v>
      </c>
    </row>
    <row r="186">
      <c r="A186" s="31">
        <v>45786.0</v>
      </c>
      <c r="B186" s="30">
        <v>102971.0</v>
      </c>
    </row>
    <row r="187">
      <c r="A187" s="31">
        <v>45785.0</v>
      </c>
      <c r="B187" s="30">
        <v>103241.0</v>
      </c>
    </row>
    <row r="188">
      <c r="A188" s="31">
        <v>45784.0</v>
      </c>
      <c r="B188" s="30">
        <v>97032.0</v>
      </c>
    </row>
    <row r="189">
      <c r="A189" s="31">
        <v>45783.0</v>
      </c>
      <c r="B189" s="30">
        <v>96802.0</v>
      </c>
    </row>
    <row r="190">
      <c r="A190" s="31">
        <v>45782.0</v>
      </c>
      <c r="B190" s="30">
        <v>94748.0</v>
      </c>
    </row>
    <row r="191">
      <c r="A191" s="31">
        <v>45781.0</v>
      </c>
      <c r="B191" s="30">
        <v>94316.0</v>
      </c>
    </row>
    <row r="192">
      <c r="A192" s="31">
        <v>45780.0</v>
      </c>
      <c r="B192" s="30">
        <v>95892.0</v>
      </c>
    </row>
    <row r="193">
      <c r="A193" s="31">
        <v>45779.0</v>
      </c>
      <c r="B193" s="30">
        <v>96910.0</v>
      </c>
    </row>
    <row r="194">
      <c r="A194" s="31">
        <v>45778.0</v>
      </c>
      <c r="B194" s="30">
        <v>96492.0</v>
      </c>
    </row>
    <row r="195">
      <c r="A195" s="31">
        <v>45777.0</v>
      </c>
      <c r="B195" s="30">
        <v>94207.0</v>
      </c>
    </row>
    <row r="196">
      <c r="A196" s="31">
        <v>45776.0</v>
      </c>
      <c r="B196" s="30">
        <v>94285.0</v>
      </c>
    </row>
    <row r="197">
      <c r="A197" s="31">
        <v>45775.0</v>
      </c>
      <c r="B197" s="30">
        <v>94979.0</v>
      </c>
    </row>
    <row r="198">
      <c r="A198" s="31">
        <v>45774.0</v>
      </c>
      <c r="B198" s="30">
        <v>93755.0</v>
      </c>
    </row>
    <row r="199">
      <c r="A199" s="31">
        <v>45773.0</v>
      </c>
      <c r="B199" s="30">
        <v>94647.0</v>
      </c>
    </row>
    <row r="200">
      <c r="A200" s="31">
        <v>45772.0</v>
      </c>
      <c r="B200" s="30">
        <v>94720.0</v>
      </c>
    </row>
    <row r="201">
      <c r="A201" s="31">
        <v>45771.0</v>
      </c>
      <c r="B201" s="30">
        <v>93944.0</v>
      </c>
    </row>
    <row r="202">
      <c r="A202" s="31">
        <v>45770.0</v>
      </c>
      <c r="B202" s="30">
        <v>93699.0</v>
      </c>
    </row>
    <row r="203">
      <c r="A203" s="31">
        <v>45769.0</v>
      </c>
      <c r="B203" s="30">
        <v>93442.0</v>
      </c>
    </row>
    <row r="204">
      <c r="A204" s="31">
        <v>45768.0</v>
      </c>
      <c r="B204" s="30">
        <v>87519.0</v>
      </c>
    </row>
    <row r="205">
      <c r="A205" s="31">
        <v>45767.0</v>
      </c>
      <c r="B205" s="30">
        <v>85174.0</v>
      </c>
    </row>
    <row r="206">
      <c r="A206" s="31">
        <v>45766.0</v>
      </c>
      <c r="B206" s="30">
        <v>85063.0</v>
      </c>
    </row>
    <row r="207">
      <c r="A207" s="31">
        <v>45765.0</v>
      </c>
      <c r="B207" s="30">
        <v>84451.0</v>
      </c>
    </row>
    <row r="208">
      <c r="A208" s="31">
        <v>45764.0</v>
      </c>
      <c r="B208" s="30">
        <v>84896.0</v>
      </c>
    </row>
    <row r="209">
      <c r="A209" s="31">
        <v>45763.0</v>
      </c>
      <c r="B209" s="30">
        <v>84034.0</v>
      </c>
    </row>
    <row r="210">
      <c r="A210" s="31">
        <v>45762.0</v>
      </c>
      <c r="B210" s="30">
        <v>83669.0</v>
      </c>
    </row>
    <row r="211">
      <c r="A211" s="31">
        <v>45761.0</v>
      </c>
      <c r="B211" s="30">
        <v>84542.0</v>
      </c>
    </row>
    <row r="212">
      <c r="A212" s="31">
        <v>45760.0</v>
      </c>
      <c r="B212" s="30">
        <v>83685.0</v>
      </c>
    </row>
    <row r="213">
      <c r="A213" s="31">
        <v>45759.0</v>
      </c>
      <c r="B213" s="30">
        <v>85287.0</v>
      </c>
    </row>
    <row r="214">
      <c r="A214" s="31">
        <v>45758.0</v>
      </c>
      <c r="B214" s="30">
        <v>83405.0</v>
      </c>
    </row>
    <row r="215">
      <c r="A215" s="31">
        <v>45757.0</v>
      </c>
      <c r="B215" s="30">
        <v>79626.0</v>
      </c>
    </row>
    <row r="216">
      <c r="A216" s="31">
        <v>45756.0</v>
      </c>
      <c r="B216" s="30">
        <v>82574.0</v>
      </c>
    </row>
    <row r="217">
      <c r="A217" s="31">
        <v>45755.0</v>
      </c>
      <c r="B217" s="30">
        <v>76272.0</v>
      </c>
    </row>
    <row r="218">
      <c r="A218" s="31">
        <v>45754.0</v>
      </c>
      <c r="B218" s="30">
        <v>79235.0</v>
      </c>
    </row>
    <row r="219">
      <c r="A219" s="31">
        <v>45753.0</v>
      </c>
      <c r="B219" s="30">
        <v>78214.0</v>
      </c>
    </row>
    <row r="220">
      <c r="A220" s="31">
        <v>45752.0</v>
      </c>
      <c r="B220" s="30">
        <v>83505.0</v>
      </c>
    </row>
    <row r="221">
      <c r="A221" s="31">
        <v>45751.0</v>
      </c>
      <c r="B221" s="30">
        <v>83844.0</v>
      </c>
    </row>
    <row r="222">
      <c r="A222" s="31">
        <v>45750.0</v>
      </c>
      <c r="B222" s="30">
        <v>83103.0</v>
      </c>
    </row>
    <row r="223">
      <c r="A223" s="31">
        <v>45749.0</v>
      </c>
      <c r="B223" s="30">
        <v>82486.0</v>
      </c>
    </row>
    <row r="224">
      <c r="A224" s="31">
        <v>45748.0</v>
      </c>
      <c r="B224" s="30">
        <v>85169.0</v>
      </c>
    </row>
    <row r="225">
      <c r="A225" s="31">
        <v>45747.0</v>
      </c>
      <c r="B225" s="30">
        <v>82549.0</v>
      </c>
    </row>
    <row r="226">
      <c r="A226" s="31">
        <v>45746.0</v>
      </c>
      <c r="B226" s="30">
        <v>82335.0</v>
      </c>
    </row>
    <row r="227">
      <c r="A227" s="31">
        <v>45745.0</v>
      </c>
      <c r="B227" s="30">
        <v>82598.0</v>
      </c>
    </row>
    <row r="228">
      <c r="A228" s="31">
        <v>45744.0</v>
      </c>
      <c r="B228" s="30">
        <v>84353.0</v>
      </c>
    </row>
    <row r="229">
      <c r="A229" s="31">
        <v>45743.0</v>
      </c>
      <c r="B229" s="30">
        <v>87177.0</v>
      </c>
    </row>
    <row r="230">
      <c r="A230" s="31">
        <v>45742.0</v>
      </c>
      <c r="B230" s="30">
        <v>86901.0</v>
      </c>
    </row>
    <row r="231">
      <c r="A231" s="31">
        <v>45741.0</v>
      </c>
      <c r="B231" s="30">
        <v>87472.0</v>
      </c>
    </row>
    <row r="232">
      <c r="A232" s="31">
        <v>45740.0</v>
      </c>
      <c r="B232" s="30">
        <v>87499.0</v>
      </c>
    </row>
    <row r="233">
      <c r="A233" s="31">
        <v>45739.0</v>
      </c>
      <c r="B233" s="30">
        <v>86054.0</v>
      </c>
    </row>
    <row r="234">
      <c r="A234" s="31">
        <v>45738.0</v>
      </c>
      <c r="B234" s="30">
        <v>83832.0</v>
      </c>
    </row>
    <row r="235">
      <c r="A235" s="31">
        <v>45737.0</v>
      </c>
      <c r="B235" s="30">
        <v>84043.0</v>
      </c>
    </row>
    <row r="236">
      <c r="A236" s="31">
        <v>45736.0</v>
      </c>
      <c r="B236" s="30">
        <v>84167.0</v>
      </c>
    </row>
    <row r="237">
      <c r="A237" s="31">
        <v>45735.0</v>
      </c>
      <c r="B237" s="30">
        <v>86854.0</v>
      </c>
    </row>
    <row r="238">
      <c r="A238" s="31">
        <v>45734.0</v>
      </c>
      <c r="B238" s="30">
        <v>82719.0</v>
      </c>
    </row>
    <row r="239">
      <c r="A239" s="31">
        <v>45733.0</v>
      </c>
      <c r="B239" s="30">
        <v>84076.0</v>
      </c>
    </row>
    <row r="240">
      <c r="A240" s="31">
        <v>45732.0</v>
      </c>
      <c r="B240" s="30">
        <v>82580.0</v>
      </c>
    </row>
    <row r="241">
      <c r="A241" s="31">
        <v>45731.0</v>
      </c>
      <c r="B241" s="30">
        <v>84343.0</v>
      </c>
    </row>
    <row r="242">
      <c r="A242" s="31">
        <v>45730.0</v>
      </c>
      <c r="B242" s="30">
        <v>83969.0</v>
      </c>
    </row>
    <row r="243">
      <c r="A243" s="31">
        <v>45729.0</v>
      </c>
      <c r="B243" s="30">
        <v>81067.0</v>
      </c>
    </row>
    <row r="244">
      <c r="A244" s="31">
        <v>45728.0</v>
      </c>
      <c r="B244" s="30">
        <v>83722.0</v>
      </c>
    </row>
    <row r="245">
      <c r="A245" s="31">
        <v>45727.0</v>
      </c>
      <c r="B245" s="30">
        <v>82862.0</v>
      </c>
    </row>
    <row r="246">
      <c r="A246" s="31">
        <v>45726.0</v>
      </c>
      <c r="B246" s="30">
        <v>78532.0</v>
      </c>
    </row>
    <row r="247">
      <c r="A247" s="31">
        <v>45725.0</v>
      </c>
      <c r="B247" s="30">
        <v>80601.0</v>
      </c>
    </row>
    <row r="248">
      <c r="A248" s="31">
        <v>45724.0</v>
      </c>
      <c r="B248" s="30">
        <v>86155.0</v>
      </c>
    </row>
    <row r="249">
      <c r="A249" s="31">
        <v>45723.0</v>
      </c>
      <c r="B249" s="30">
        <v>86743.0</v>
      </c>
    </row>
    <row r="250">
      <c r="A250" s="31">
        <v>45722.0</v>
      </c>
      <c r="B250" s="30">
        <v>89962.0</v>
      </c>
    </row>
    <row r="251">
      <c r="A251" s="31">
        <v>45721.0</v>
      </c>
      <c r="B251" s="30">
        <v>90624.0</v>
      </c>
    </row>
    <row r="252">
      <c r="A252" s="31">
        <v>45720.0</v>
      </c>
      <c r="B252" s="30">
        <v>87222.0</v>
      </c>
    </row>
    <row r="253">
      <c r="A253" s="31">
        <v>45719.0</v>
      </c>
      <c r="B253" s="30">
        <v>86066.0</v>
      </c>
    </row>
    <row r="254">
      <c r="A254" s="31">
        <v>45718.0</v>
      </c>
      <c r="B254" s="30">
        <v>94248.0</v>
      </c>
    </row>
    <row r="255">
      <c r="A255" s="31">
        <v>45717.0</v>
      </c>
      <c r="B255" s="30">
        <v>86032.0</v>
      </c>
    </row>
    <row r="256">
      <c r="A256" s="31">
        <v>45716.0</v>
      </c>
      <c r="B256" s="30">
        <v>84373.0</v>
      </c>
    </row>
    <row r="257">
      <c r="A257" s="31">
        <v>45715.0</v>
      </c>
      <c r="B257" s="30">
        <v>84704.0</v>
      </c>
    </row>
    <row r="258">
      <c r="A258" s="31">
        <v>45714.0</v>
      </c>
      <c r="B258" s="30">
        <v>84347.0</v>
      </c>
    </row>
    <row r="259">
      <c r="A259" s="31">
        <v>45713.0</v>
      </c>
      <c r="B259" s="30">
        <v>88736.0</v>
      </c>
    </row>
    <row r="260">
      <c r="A260" s="31">
        <v>45712.0</v>
      </c>
      <c r="B260" s="30">
        <v>91418.0</v>
      </c>
    </row>
    <row r="261">
      <c r="A261" s="31">
        <v>45711.0</v>
      </c>
      <c r="B261" s="30">
        <v>96274.0</v>
      </c>
    </row>
    <row r="262">
      <c r="A262" s="31">
        <v>45710.0</v>
      </c>
      <c r="B262" s="30">
        <v>96578.0</v>
      </c>
    </row>
    <row r="263">
      <c r="A263" s="31">
        <v>45709.0</v>
      </c>
      <c r="B263" s="30">
        <v>96126.0</v>
      </c>
    </row>
    <row r="264">
      <c r="A264" s="31">
        <v>45708.0</v>
      </c>
      <c r="B264" s="30">
        <v>98334.0</v>
      </c>
    </row>
    <row r="265">
      <c r="A265" s="31">
        <v>45707.0</v>
      </c>
      <c r="B265" s="30">
        <v>96636.0</v>
      </c>
    </row>
    <row r="266">
      <c r="A266" s="31">
        <v>45706.0</v>
      </c>
      <c r="B266" s="30">
        <v>95540.0</v>
      </c>
    </row>
    <row r="267">
      <c r="A267" s="31">
        <v>45705.0</v>
      </c>
      <c r="B267" s="30">
        <v>95773.0</v>
      </c>
    </row>
    <row r="268">
      <c r="A268" s="31">
        <v>45704.0</v>
      </c>
      <c r="B268" s="30">
        <v>96175.0</v>
      </c>
    </row>
    <row r="269">
      <c r="A269" s="31">
        <v>45703.0</v>
      </c>
      <c r="B269" s="30">
        <v>97580.0</v>
      </c>
    </row>
    <row r="270">
      <c r="A270" s="31">
        <v>45702.0</v>
      </c>
      <c r="B270" s="30">
        <v>97509.0</v>
      </c>
    </row>
    <row r="271">
      <c r="A271" s="31">
        <v>45701.0</v>
      </c>
      <c r="B271" s="30">
        <v>96624.0</v>
      </c>
    </row>
    <row r="272">
      <c r="A272" s="31">
        <v>45700.0</v>
      </c>
      <c r="B272" s="30">
        <v>97886.0</v>
      </c>
    </row>
    <row r="273">
      <c r="A273" s="31">
        <v>45699.0</v>
      </c>
      <c r="B273" s="30">
        <v>95747.0</v>
      </c>
    </row>
    <row r="274">
      <c r="A274" s="31">
        <v>45698.0</v>
      </c>
      <c r="B274" s="30">
        <v>97438.0</v>
      </c>
    </row>
    <row r="275">
      <c r="A275" s="31">
        <v>45697.0</v>
      </c>
      <c r="B275" s="30">
        <v>96500.0</v>
      </c>
    </row>
    <row r="276">
      <c r="A276" s="31">
        <v>45696.0</v>
      </c>
      <c r="B276" s="30">
        <v>96482.0</v>
      </c>
    </row>
    <row r="277">
      <c r="A277" s="31">
        <v>45695.0</v>
      </c>
      <c r="B277" s="30">
        <v>96529.0</v>
      </c>
    </row>
    <row r="278">
      <c r="A278" s="31">
        <v>45694.0</v>
      </c>
      <c r="B278" s="30">
        <v>96593.0</v>
      </c>
    </row>
    <row r="279">
      <c r="A279" s="31">
        <v>45693.0</v>
      </c>
      <c r="B279" s="30">
        <v>96615.0</v>
      </c>
    </row>
    <row r="280">
      <c r="A280" s="31">
        <v>45692.0</v>
      </c>
      <c r="B280" s="30">
        <v>97872.0</v>
      </c>
    </row>
    <row r="281">
      <c r="A281" s="31">
        <v>45691.0</v>
      </c>
      <c r="B281" s="30">
        <v>101405.0</v>
      </c>
    </row>
    <row r="282">
      <c r="A282" s="31">
        <v>45690.0</v>
      </c>
      <c r="B282" s="30">
        <v>97689.0</v>
      </c>
    </row>
    <row r="283">
      <c r="A283" s="31">
        <v>45689.0</v>
      </c>
      <c r="B283" s="30">
        <v>100656.0</v>
      </c>
    </row>
    <row r="284">
      <c r="A284" s="31">
        <v>45688.0</v>
      </c>
      <c r="B284" s="30">
        <v>102405.0</v>
      </c>
    </row>
    <row r="285">
      <c r="A285" s="31">
        <v>45687.0</v>
      </c>
      <c r="B285" s="30">
        <v>104735.0</v>
      </c>
    </row>
    <row r="286">
      <c r="A286" s="31">
        <v>45686.0</v>
      </c>
      <c r="B286" s="30">
        <v>103703.0</v>
      </c>
    </row>
    <row r="287">
      <c r="A287" s="31">
        <v>45685.0</v>
      </c>
      <c r="B287" s="30">
        <v>101332.0</v>
      </c>
    </row>
    <row r="288">
      <c r="A288" s="31">
        <v>45684.0</v>
      </c>
      <c r="B288" s="30">
        <v>102088.0</v>
      </c>
    </row>
    <row r="289">
      <c r="A289" s="31">
        <v>45683.0</v>
      </c>
      <c r="B289" s="30">
        <v>102682.0</v>
      </c>
    </row>
    <row r="290">
      <c r="A290" s="31">
        <v>45682.0</v>
      </c>
      <c r="B290" s="30">
        <v>104715.0</v>
      </c>
    </row>
    <row r="291">
      <c r="A291" s="31">
        <v>45681.0</v>
      </c>
      <c r="B291" s="30">
        <v>104819.0</v>
      </c>
    </row>
    <row r="292">
      <c r="A292" s="31">
        <v>45680.0</v>
      </c>
      <c r="B292" s="30">
        <v>103960.0</v>
      </c>
    </row>
    <row r="293">
      <c r="A293" s="31">
        <v>45679.0</v>
      </c>
      <c r="B293" s="30">
        <v>103653.0</v>
      </c>
    </row>
    <row r="294">
      <c r="A294" s="31">
        <v>45678.0</v>
      </c>
      <c r="B294" s="30">
        <v>106146.0</v>
      </c>
    </row>
    <row r="295">
      <c r="A295" s="31">
        <v>45677.0</v>
      </c>
      <c r="B295" s="30">
        <v>102017.0</v>
      </c>
    </row>
    <row r="296">
      <c r="A296" s="31">
        <v>45676.0</v>
      </c>
      <c r="B296" s="30">
        <v>101090.0</v>
      </c>
    </row>
    <row r="297">
      <c r="A297" s="31">
        <v>45675.0</v>
      </c>
      <c r="B297" s="30">
        <v>104408.0</v>
      </c>
    </row>
    <row r="298">
      <c r="A298" s="31">
        <v>45674.0</v>
      </c>
      <c r="B298" s="30">
        <v>104462.0</v>
      </c>
    </row>
    <row r="299">
      <c r="A299" s="31">
        <v>45673.0</v>
      </c>
      <c r="B299" s="30">
        <v>99757.0</v>
      </c>
    </row>
    <row r="300">
      <c r="A300" s="31">
        <v>45672.0</v>
      </c>
      <c r="B300" s="30">
        <v>100504.0</v>
      </c>
    </row>
    <row r="301">
      <c r="A301" s="31">
        <v>45671.0</v>
      </c>
      <c r="B301" s="30">
        <v>96534.0</v>
      </c>
    </row>
    <row r="302">
      <c r="A302" s="31">
        <v>45670.0</v>
      </c>
      <c r="B302" s="30">
        <v>94517.0</v>
      </c>
    </row>
    <row r="303">
      <c r="A303" s="31">
        <v>45669.0</v>
      </c>
      <c r="B303" s="30">
        <v>94488.0</v>
      </c>
    </row>
    <row r="304">
      <c r="A304" s="31">
        <v>45668.0</v>
      </c>
      <c r="B304" s="30">
        <v>94567.0</v>
      </c>
    </row>
    <row r="305">
      <c r="A305" s="31">
        <v>45667.0</v>
      </c>
      <c r="B305" s="30">
        <v>94701.0</v>
      </c>
    </row>
    <row r="306">
      <c r="A306" s="31">
        <v>45666.0</v>
      </c>
      <c r="B306" s="30">
        <v>92484.0</v>
      </c>
    </row>
    <row r="307">
      <c r="A307" s="31">
        <v>45665.0</v>
      </c>
      <c r="B307" s="30">
        <v>95044.0</v>
      </c>
    </row>
    <row r="308">
      <c r="A308" s="31">
        <v>45664.0</v>
      </c>
      <c r="B308" s="30">
        <v>96923.0</v>
      </c>
    </row>
    <row r="309">
      <c r="A309" s="31">
        <v>45663.0</v>
      </c>
      <c r="B309" s="30">
        <v>102078.0</v>
      </c>
    </row>
    <row r="310">
      <c r="A310" s="31">
        <v>45662.0</v>
      </c>
      <c r="B310" s="30">
        <v>98315.0</v>
      </c>
    </row>
    <row r="311">
      <c r="A311" s="31">
        <v>45661.0</v>
      </c>
      <c r="B311" s="30">
        <v>98236.0</v>
      </c>
    </row>
    <row r="312">
      <c r="A312" s="31">
        <v>45660.0</v>
      </c>
      <c r="B312" s="30">
        <v>98107.0</v>
      </c>
    </row>
    <row r="313">
      <c r="A313" s="31">
        <v>45659.0</v>
      </c>
      <c r="B313" s="30">
        <v>96887.0</v>
      </c>
    </row>
    <row r="314">
      <c r="A314" s="31">
        <v>45658.0</v>
      </c>
      <c r="B314" s="30">
        <v>94420.0</v>
      </c>
    </row>
    <row r="315">
      <c r="A315" s="31">
        <v>45657.0</v>
      </c>
      <c r="B315" s="30">
        <v>93429.0</v>
      </c>
    </row>
    <row r="316">
      <c r="A316" s="31">
        <v>45656.0</v>
      </c>
      <c r="B316" s="30">
        <v>92643.0</v>
      </c>
    </row>
    <row r="317">
      <c r="A317" s="31">
        <v>45655.0</v>
      </c>
      <c r="B317" s="30">
        <v>93530.0</v>
      </c>
    </row>
    <row r="318">
      <c r="A318" s="31">
        <v>45654.0</v>
      </c>
      <c r="B318" s="30">
        <v>95164.0</v>
      </c>
    </row>
    <row r="319">
      <c r="A319" s="31">
        <v>45653.0</v>
      </c>
      <c r="B319" s="30">
        <v>94165.0</v>
      </c>
    </row>
    <row r="320">
      <c r="A320" s="31">
        <v>45652.0</v>
      </c>
      <c r="B320" s="30">
        <v>95796.0</v>
      </c>
    </row>
    <row r="321">
      <c r="A321" s="31">
        <v>45651.0</v>
      </c>
      <c r="B321" s="30">
        <v>99299.0</v>
      </c>
    </row>
    <row r="322">
      <c r="A322" s="31">
        <v>45650.0</v>
      </c>
      <c r="B322" s="30">
        <v>98676.0</v>
      </c>
    </row>
    <row r="323">
      <c r="A323" s="31">
        <v>45649.0</v>
      </c>
      <c r="B323" s="30">
        <v>94686.0</v>
      </c>
    </row>
    <row r="324">
      <c r="A324" s="31">
        <v>45648.0</v>
      </c>
      <c r="B324" s="30">
        <v>95105.0</v>
      </c>
    </row>
    <row r="325">
      <c r="A325" s="31">
        <v>45647.0</v>
      </c>
      <c r="B325" s="30">
        <v>97225.0</v>
      </c>
    </row>
    <row r="326">
      <c r="A326" s="31">
        <v>45646.0</v>
      </c>
      <c r="B326" s="30">
        <v>97756.0</v>
      </c>
    </row>
    <row r="327">
      <c r="A327" s="31">
        <v>45645.0</v>
      </c>
      <c r="B327" s="30">
        <v>97491.0</v>
      </c>
    </row>
    <row r="328">
      <c r="A328" s="31">
        <v>45644.0</v>
      </c>
      <c r="B328" s="30">
        <v>100042.0</v>
      </c>
    </row>
    <row r="329">
      <c r="A329" s="31">
        <v>45643.0</v>
      </c>
      <c r="B329" s="30">
        <v>106141.0</v>
      </c>
    </row>
    <row r="330">
      <c r="A330" s="31">
        <v>45642.0</v>
      </c>
      <c r="B330" s="30">
        <v>106030.0</v>
      </c>
    </row>
    <row r="331">
      <c r="A331" s="31">
        <v>45641.0</v>
      </c>
      <c r="B331" s="30">
        <v>104299.0</v>
      </c>
    </row>
    <row r="332">
      <c r="A332" s="31">
        <v>45640.0</v>
      </c>
      <c r="B332" s="30">
        <v>101373.0</v>
      </c>
    </row>
    <row r="333">
      <c r="A333" s="31">
        <v>45639.0</v>
      </c>
      <c r="B333" s="30">
        <v>101459.0</v>
      </c>
    </row>
    <row r="334">
      <c r="A334" s="31">
        <v>45638.0</v>
      </c>
      <c r="B334" s="30">
        <v>100043.0</v>
      </c>
    </row>
    <row r="335">
      <c r="A335" s="31">
        <v>45637.0</v>
      </c>
      <c r="B335" s="30">
        <v>101173.0</v>
      </c>
    </row>
    <row r="336">
      <c r="A336" s="31">
        <v>45636.0</v>
      </c>
      <c r="B336" s="30">
        <v>96675.0</v>
      </c>
    </row>
    <row r="337">
      <c r="A337" s="31">
        <v>45635.0</v>
      </c>
      <c r="B337" s="30">
        <v>97433.0</v>
      </c>
    </row>
    <row r="338">
      <c r="A338" s="31">
        <v>45634.0</v>
      </c>
      <c r="B338" s="30">
        <v>101236.0</v>
      </c>
    </row>
    <row r="339">
      <c r="A339" s="31">
        <v>45633.0</v>
      </c>
      <c r="B339" s="30">
        <v>99923.0</v>
      </c>
    </row>
    <row r="340">
      <c r="A340" s="31">
        <v>45632.0</v>
      </c>
      <c r="B340" s="30">
        <v>99921.0</v>
      </c>
    </row>
    <row r="341">
      <c r="A341" s="31">
        <v>45631.0</v>
      </c>
      <c r="B341" s="30">
        <v>96594.0</v>
      </c>
    </row>
    <row r="342">
      <c r="A342" s="31">
        <v>45630.0</v>
      </c>
      <c r="B342" s="30">
        <v>98769.0</v>
      </c>
    </row>
    <row r="343">
      <c r="A343" s="31">
        <v>45629.0</v>
      </c>
      <c r="B343" s="30">
        <v>96002.0</v>
      </c>
    </row>
    <row r="344">
      <c r="A344" s="31">
        <v>45628.0</v>
      </c>
      <c r="B344" s="30">
        <v>95865.0</v>
      </c>
    </row>
    <row r="345">
      <c r="A345" s="31">
        <v>45627.0</v>
      </c>
      <c r="B345" s="30">
        <v>97280.0</v>
      </c>
    </row>
    <row r="346">
      <c r="A346" s="31">
        <v>45626.0</v>
      </c>
      <c r="B346" s="30">
        <v>96449.0</v>
      </c>
    </row>
    <row r="347">
      <c r="A347" s="31">
        <v>45625.0</v>
      </c>
      <c r="B347" s="30">
        <v>97462.0</v>
      </c>
    </row>
    <row r="348">
      <c r="A348" s="31">
        <v>45624.0</v>
      </c>
      <c r="B348" s="30">
        <v>95652.0</v>
      </c>
    </row>
    <row r="349">
      <c r="A349" s="31">
        <v>45623.0</v>
      </c>
      <c r="B349" s="30">
        <v>95963.0</v>
      </c>
    </row>
    <row r="350">
      <c r="A350" s="31">
        <v>45622.0</v>
      </c>
      <c r="B350" s="30">
        <v>91985.0</v>
      </c>
    </row>
    <row r="351">
      <c r="A351" s="31">
        <v>45621.0</v>
      </c>
      <c r="B351" s="30">
        <v>93102.0</v>
      </c>
    </row>
    <row r="352">
      <c r="A352" s="31">
        <v>45620.0</v>
      </c>
      <c r="B352" s="30">
        <v>98014.0</v>
      </c>
    </row>
    <row r="353">
      <c r="A353" s="31">
        <v>45619.0</v>
      </c>
      <c r="B353" s="30">
        <v>97777.0</v>
      </c>
    </row>
    <row r="354">
      <c r="A354" s="31">
        <v>45618.0</v>
      </c>
      <c r="B354" s="30">
        <v>98998.0</v>
      </c>
    </row>
    <row r="355">
      <c r="A355" s="31">
        <v>45617.0</v>
      </c>
      <c r="B355" s="30">
        <v>98505.0</v>
      </c>
    </row>
    <row r="356">
      <c r="A356" s="31">
        <v>45616.0</v>
      </c>
      <c r="B356" s="30">
        <v>94339.0</v>
      </c>
    </row>
    <row r="357">
      <c r="A357" s="31">
        <v>45615.0</v>
      </c>
      <c r="B357" s="30">
        <v>92344.0</v>
      </c>
    </row>
    <row r="358">
      <c r="A358" s="31">
        <v>45614.0</v>
      </c>
      <c r="B358" s="30">
        <v>90543.0</v>
      </c>
    </row>
    <row r="359">
      <c r="A359" s="31">
        <v>45613.0</v>
      </c>
      <c r="B359" s="30">
        <v>89846.0</v>
      </c>
    </row>
    <row r="360">
      <c r="A360" s="31">
        <v>45612.0</v>
      </c>
      <c r="B360" s="30">
        <v>90558.0</v>
      </c>
    </row>
    <row r="361">
      <c r="A361" s="31">
        <v>45611.0</v>
      </c>
      <c r="B361" s="30">
        <v>91066.0</v>
      </c>
    </row>
    <row r="362">
      <c r="A362" s="31">
        <v>45610.0</v>
      </c>
      <c r="B362" s="30">
        <v>87250.0</v>
      </c>
    </row>
    <row r="363">
      <c r="A363" s="31">
        <v>45609.0</v>
      </c>
      <c r="B363" s="30">
        <v>90584.0</v>
      </c>
    </row>
    <row r="364">
      <c r="A364" s="31">
        <v>45608.0</v>
      </c>
      <c r="B364" s="30">
        <v>87956.0</v>
      </c>
    </row>
    <row r="365">
      <c r="A365" s="31">
        <v>45607.0</v>
      </c>
      <c r="B365" s="30">
        <v>88701.0</v>
      </c>
    </row>
    <row r="366">
      <c r="A366" s="31">
        <v>45606.0</v>
      </c>
      <c r="B366" s="30">
        <v>80474.0</v>
      </c>
    </row>
    <row r="367">
      <c r="A367" s="31">
        <v>45605.0</v>
      </c>
      <c r="B367" s="30">
        <v>76779.0</v>
      </c>
    </row>
    <row r="368">
      <c r="A368" s="31">
        <v>45604.0</v>
      </c>
      <c r="B368" s="30">
        <v>76545.0</v>
      </c>
    </row>
    <row r="369">
      <c r="A369" s="31">
        <v>45603.0</v>
      </c>
      <c r="B369" s="30">
        <v>75905.0</v>
      </c>
    </row>
    <row r="370">
      <c r="A370" s="31">
        <v>45602.0</v>
      </c>
      <c r="B370" s="30">
        <v>75639.0</v>
      </c>
    </row>
    <row r="371">
      <c r="A371" s="31">
        <v>45601.0</v>
      </c>
      <c r="B371" s="30">
        <v>69360.0</v>
      </c>
    </row>
    <row r="372">
      <c r="A372" s="31">
        <v>45600.0</v>
      </c>
      <c r="B372" s="30">
        <v>67812.0</v>
      </c>
    </row>
    <row r="373">
      <c r="A373" s="31">
        <v>45599.0</v>
      </c>
      <c r="B373" s="30">
        <v>68741.0</v>
      </c>
    </row>
    <row r="374">
      <c r="A374" s="31">
        <v>45598.0</v>
      </c>
      <c r="B374" s="30">
        <v>69289.0</v>
      </c>
    </row>
    <row r="375">
      <c r="A375" s="31">
        <v>45597.0</v>
      </c>
      <c r="B375" s="30">
        <v>69482.0</v>
      </c>
    </row>
    <row r="376">
      <c r="A376" s="31">
        <v>45596.0</v>
      </c>
      <c r="B376" s="30">
        <v>70215.0</v>
      </c>
    </row>
    <row r="377">
      <c r="A377" s="31">
        <v>45595.0</v>
      </c>
      <c r="B377" s="30">
        <v>72340.0</v>
      </c>
    </row>
    <row r="378">
      <c r="A378" s="31">
        <v>45594.0</v>
      </c>
      <c r="B378" s="30">
        <v>72720.0</v>
      </c>
    </row>
    <row r="379">
      <c r="A379" s="31">
        <v>45593.0</v>
      </c>
      <c r="B379" s="30">
        <v>69908.0</v>
      </c>
    </row>
    <row r="380">
      <c r="A380" s="31">
        <v>45592.0</v>
      </c>
      <c r="B380" s="30">
        <v>67929.0</v>
      </c>
    </row>
    <row r="381">
      <c r="A381" s="31">
        <v>45591.0</v>
      </c>
      <c r="B381" s="30">
        <v>67015.0</v>
      </c>
    </row>
    <row r="382">
      <c r="A382" s="31">
        <v>45590.0</v>
      </c>
      <c r="B382" s="30">
        <v>66642.0</v>
      </c>
    </row>
    <row r="383">
      <c r="A383" s="31">
        <v>45589.0</v>
      </c>
      <c r="B383" s="30">
        <v>68161.0</v>
      </c>
    </row>
    <row r="384">
      <c r="A384" s="31">
        <v>45588.0</v>
      </c>
      <c r="B384" s="30">
        <v>66432.0</v>
      </c>
    </row>
    <row r="385">
      <c r="A385" s="31">
        <v>45587.0</v>
      </c>
      <c r="B385" s="30">
        <v>67361.0</v>
      </c>
    </row>
    <row r="386">
      <c r="A386" s="31">
        <v>45586.0</v>
      </c>
      <c r="B386" s="30">
        <v>67368.0</v>
      </c>
    </row>
    <row r="387">
      <c r="A387" s="31">
        <v>45585.0</v>
      </c>
      <c r="B387" s="30">
        <v>69002.0</v>
      </c>
    </row>
    <row r="388">
      <c r="A388" s="31">
        <v>45584.0</v>
      </c>
      <c r="B388" s="30">
        <v>68363.0</v>
      </c>
    </row>
    <row r="389">
      <c r="A389" s="31">
        <v>45583.0</v>
      </c>
      <c r="B389" s="30">
        <v>68419.0</v>
      </c>
    </row>
    <row r="390">
      <c r="A390" s="31">
        <v>45582.0</v>
      </c>
      <c r="B390" s="30">
        <v>67400.0</v>
      </c>
    </row>
    <row r="391">
      <c r="A391" s="31">
        <v>45581.0</v>
      </c>
      <c r="B391" s="30">
        <v>67613.0</v>
      </c>
    </row>
    <row r="392">
      <c r="A392" s="31">
        <v>45580.0</v>
      </c>
      <c r="B392" s="30">
        <v>67041.0</v>
      </c>
    </row>
    <row r="393">
      <c r="A393" s="31">
        <v>45579.0</v>
      </c>
      <c r="B393" s="30">
        <v>66046.0</v>
      </c>
    </row>
    <row r="394">
      <c r="A394" s="31">
        <v>45578.0</v>
      </c>
      <c r="B394" s="30">
        <v>62851.0</v>
      </c>
    </row>
    <row r="395">
      <c r="A395" s="31">
        <v>45577.0</v>
      </c>
      <c r="B395" s="30">
        <v>63193.0</v>
      </c>
    </row>
    <row r="396">
      <c r="A396" s="31">
        <v>45576.0</v>
      </c>
      <c r="B396" s="30">
        <v>62445.0</v>
      </c>
    </row>
    <row r="397">
      <c r="A397" s="31">
        <v>45575.0</v>
      </c>
      <c r="B397" s="30">
        <v>60274.0</v>
      </c>
    </row>
    <row r="398">
      <c r="A398" s="31">
        <v>45574.0</v>
      </c>
      <c r="B398" s="30">
        <v>60582.0</v>
      </c>
    </row>
    <row r="399">
      <c r="A399" s="31">
        <v>45573.0</v>
      </c>
      <c r="B399" s="30">
        <v>62132.0</v>
      </c>
    </row>
    <row r="400">
      <c r="A400" s="31">
        <v>45572.0</v>
      </c>
      <c r="B400" s="30">
        <v>62237.0</v>
      </c>
    </row>
    <row r="401">
      <c r="B401" s="32"/>
    </row>
    <row r="402">
      <c r="B402" s="32"/>
    </row>
    <row r="403">
      <c r="B403" s="32"/>
    </row>
    <row r="404">
      <c r="B404" s="32"/>
    </row>
    <row r="405">
      <c r="B405" s="32"/>
    </row>
    <row r="406">
      <c r="B406" s="32"/>
    </row>
    <row r="407">
      <c r="B407" s="32"/>
    </row>
    <row r="408">
      <c r="B408" s="32"/>
    </row>
    <row r="409">
      <c r="B409" s="32"/>
    </row>
    <row r="410">
      <c r="B410" s="32"/>
    </row>
    <row r="411">
      <c r="B411" s="32"/>
    </row>
    <row r="412">
      <c r="B412" s="32"/>
    </row>
    <row r="413">
      <c r="B413" s="32"/>
    </row>
    <row r="414">
      <c r="B414" s="32"/>
    </row>
    <row r="415">
      <c r="B415" s="32"/>
    </row>
    <row r="416">
      <c r="B416" s="32"/>
    </row>
    <row r="417">
      <c r="B417" s="32"/>
    </row>
    <row r="418">
      <c r="B418" s="32"/>
    </row>
    <row r="419">
      <c r="B419" s="32"/>
    </row>
    <row r="420">
      <c r="B420" s="32"/>
    </row>
    <row r="421">
      <c r="B421" s="32"/>
    </row>
    <row r="422">
      <c r="B422" s="32"/>
    </row>
    <row r="423">
      <c r="B423" s="32"/>
    </row>
    <row r="424">
      <c r="B424" s="32"/>
    </row>
    <row r="425">
      <c r="B425" s="32"/>
    </row>
    <row r="426">
      <c r="B426" s="32"/>
    </row>
    <row r="427">
      <c r="B427" s="32"/>
    </row>
    <row r="428">
      <c r="B428" s="32"/>
    </row>
    <row r="429">
      <c r="B429" s="32"/>
    </row>
    <row r="430">
      <c r="B430" s="32"/>
    </row>
    <row r="431">
      <c r="B431" s="32"/>
    </row>
    <row r="432">
      <c r="B432" s="32"/>
    </row>
    <row r="433">
      <c r="B433" s="32"/>
    </row>
    <row r="434">
      <c r="B434" s="32"/>
    </row>
    <row r="435">
      <c r="B435" s="32"/>
    </row>
    <row r="436">
      <c r="B436" s="32"/>
    </row>
    <row r="437">
      <c r="B437" s="32"/>
    </row>
    <row r="438">
      <c r="B438" s="32"/>
    </row>
    <row r="439">
      <c r="B439" s="32"/>
    </row>
    <row r="440">
      <c r="B440" s="32"/>
    </row>
    <row r="441">
      <c r="B441" s="32"/>
    </row>
    <row r="442">
      <c r="B442" s="32"/>
    </row>
    <row r="443">
      <c r="B443" s="32"/>
    </row>
    <row r="444">
      <c r="B444" s="32"/>
    </row>
    <row r="445">
      <c r="B445" s="32"/>
    </row>
    <row r="446">
      <c r="B446" s="32"/>
    </row>
    <row r="447">
      <c r="B447" s="32"/>
    </row>
    <row r="448">
      <c r="B448" s="32"/>
    </row>
    <row r="449">
      <c r="B449" s="32"/>
    </row>
    <row r="450">
      <c r="B450" s="32"/>
    </row>
    <row r="451">
      <c r="B451" s="32"/>
    </row>
    <row r="452">
      <c r="B452" s="32"/>
    </row>
    <row r="453">
      <c r="B453" s="32"/>
    </row>
    <row r="454">
      <c r="B454" s="32"/>
    </row>
    <row r="455">
      <c r="B455" s="32"/>
    </row>
    <row r="456">
      <c r="B456" s="32"/>
    </row>
    <row r="457">
      <c r="B457" s="32"/>
    </row>
    <row r="458">
      <c r="B458" s="32"/>
    </row>
    <row r="459">
      <c r="B459" s="32"/>
    </row>
    <row r="460">
      <c r="B460" s="32"/>
    </row>
    <row r="461">
      <c r="B461" s="32"/>
    </row>
    <row r="462">
      <c r="B462" s="32"/>
    </row>
    <row r="463">
      <c r="B463" s="32"/>
    </row>
    <row r="464">
      <c r="B464" s="32"/>
    </row>
    <row r="465">
      <c r="B465" s="32"/>
    </row>
    <row r="466">
      <c r="B466" s="32"/>
    </row>
    <row r="467">
      <c r="B467" s="32"/>
    </row>
    <row r="468">
      <c r="B468" s="32"/>
    </row>
    <row r="469">
      <c r="B469" s="32"/>
    </row>
    <row r="470">
      <c r="B470" s="32"/>
    </row>
    <row r="471">
      <c r="B471" s="32"/>
    </row>
    <row r="472">
      <c r="B472" s="32"/>
    </row>
    <row r="473">
      <c r="B473" s="32"/>
    </row>
    <row r="474">
      <c r="B474" s="32"/>
    </row>
    <row r="475">
      <c r="B475" s="32"/>
    </row>
    <row r="476">
      <c r="B476" s="32"/>
    </row>
    <row r="477">
      <c r="B477" s="32"/>
    </row>
    <row r="478">
      <c r="B478" s="32"/>
    </row>
    <row r="479">
      <c r="B479" s="32"/>
    </row>
    <row r="480">
      <c r="B480" s="32"/>
    </row>
    <row r="481">
      <c r="B481" s="32"/>
    </row>
    <row r="482">
      <c r="B482" s="32"/>
    </row>
    <row r="483">
      <c r="B483" s="32"/>
    </row>
    <row r="484">
      <c r="B484" s="32"/>
    </row>
    <row r="485">
      <c r="B485" s="32"/>
    </row>
    <row r="486">
      <c r="B486" s="32"/>
    </row>
    <row r="487">
      <c r="B487" s="32"/>
    </row>
    <row r="488">
      <c r="B488" s="32"/>
    </row>
    <row r="489">
      <c r="B489" s="32"/>
    </row>
    <row r="490">
      <c r="B490" s="32"/>
    </row>
    <row r="491">
      <c r="B491" s="32"/>
    </row>
    <row r="492">
      <c r="B492" s="32"/>
    </row>
    <row r="493">
      <c r="B493" s="32"/>
    </row>
    <row r="494">
      <c r="B494" s="32"/>
    </row>
    <row r="495">
      <c r="B495" s="32"/>
    </row>
    <row r="496">
      <c r="B496" s="32"/>
    </row>
    <row r="497">
      <c r="B497" s="32"/>
    </row>
    <row r="498">
      <c r="B498" s="32"/>
    </row>
    <row r="499">
      <c r="B499" s="32"/>
    </row>
    <row r="500">
      <c r="B500" s="32"/>
    </row>
    <row r="501">
      <c r="B501" s="32"/>
    </row>
    <row r="502">
      <c r="B502" s="32"/>
    </row>
    <row r="503">
      <c r="B503" s="32"/>
    </row>
    <row r="504">
      <c r="B504" s="32"/>
    </row>
    <row r="505">
      <c r="B505" s="32"/>
    </row>
    <row r="506">
      <c r="B506" s="32"/>
    </row>
    <row r="507">
      <c r="B507" s="32"/>
    </row>
    <row r="508">
      <c r="B508" s="32"/>
    </row>
    <row r="509">
      <c r="B509" s="32"/>
    </row>
    <row r="510">
      <c r="B510" s="32"/>
    </row>
    <row r="511">
      <c r="B511" s="32"/>
    </row>
    <row r="512">
      <c r="B512" s="32"/>
    </row>
    <row r="513">
      <c r="B513" s="32"/>
    </row>
    <row r="514">
      <c r="B514" s="32"/>
    </row>
    <row r="515">
      <c r="B515" s="32"/>
    </row>
    <row r="516">
      <c r="B516" s="32"/>
    </row>
    <row r="517">
      <c r="B517" s="32"/>
    </row>
    <row r="518">
      <c r="B518" s="32"/>
    </row>
    <row r="519">
      <c r="B519" s="32"/>
    </row>
    <row r="520">
      <c r="B520" s="32"/>
    </row>
    <row r="521">
      <c r="B521" s="32"/>
    </row>
    <row r="522">
      <c r="B522" s="32"/>
    </row>
    <row r="523">
      <c r="B523" s="32"/>
    </row>
    <row r="524">
      <c r="B524" s="32"/>
    </row>
    <row r="525">
      <c r="B525" s="32"/>
    </row>
    <row r="526">
      <c r="B526" s="32"/>
    </row>
    <row r="527">
      <c r="B527" s="32"/>
    </row>
    <row r="528">
      <c r="B528" s="32"/>
    </row>
    <row r="529">
      <c r="B529" s="32"/>
    </row>
    <row r="530">
      <c r="B530" s="32"/>
    </row>
    <row r="531">
      <c r="B531" s="32"/>
    </row>
    <row r="532">
      <c r="B532" s="32"/>
    </row>
    <row r="533">
      <c r="B533" s="32"/>
    </row>
    <row r="534">
      <c r="B534" s="32"/>
    </row>
    <row r="535">
      <c r="B535" s="32"/>
    </row>
    <row r="536">
      <c r="B536" s="32"/>
    </row>
    <row r="537">
      <c r="B537" s="32"/>
    </row>
    <row r="538">
      <c r="B538" s="32"/>
    </row>
    <row r="539">
      <c r="B539" s="32"/>
    </row>
    <row r="540">
      <c r="B540" s="32"/>
    </row>
    <row r="541">
      <c r="B541" s="32"/>
    </row>
    <row r="542">
      <c r="B542" s="32"/>
    </row>
    <row r="543">
      <c r="B543" s="32"/>
    </row>
    <row r="544">
      <c r="B544" s="32"/>
    </row>
    <row r="545">
      <c r="B545" s="32"/>
    </row>
    <row r="546">
      <c r="B546" s="32"/>
    </row>
    <row r="547">
      <c r="B547" s="32"/>
    </row>
    <row r="548">
      <c r="B548" s="32"/>
    </row>
    <row r="549">
      <c r="B549" s="32"/>
    </row>
    <row r="550">
      <c r="B550" s="32"/>
    </row>
    <row r="551">
      <c r="B551" s="32"/>
    </row>
    <row r="552">
      <c r="B552" s="32"/>
    </row>
    <row r="553">
      <c r="B553" s="32"/>
    </row>
    <row r="554">
      <c r="B554" s="32"/>
    </row>
    <row r="555">
      <c r="B555" s="32"/>
    </row>
    <row r="556">
      <c r="B556" s="32"/>
    </row>
    <row r="557">
      <c r="B557" s="32"/>
    </row>
    <row r="558">
      <c r="B558" s="32"/>
    </row>
    <row r="559">
      <c r="B559" s="32"/>
    </row>
    <row r="560">
      <c r="B560" s="32"/>
    </row>
    <row r="561">
      <c r="B561" s="32"/>
    </row>
    <row r="562">
      <c r="B562" s="32"/>
    </row>
    <row r="563">
      <c r="B563" s="32"/>
    </row>
    <row r="564">
      <c r="B564" s="32"/>
    </row>
    <row r="565">
      <c r="B565" s="32"/>
    </row>
    <row r="566">
      <c r="B566" s="32"/>
    </row>
    <row r="567">
      <c r="B567" s="32"/>
    </row>
    <row r="568">
      <c r="B568" s="32"/>
    </row>
    <row r="569">
      <c r="B569" s="32"/>
    </row>
    <row r="570">
      <c r="B570" s="32"/>
    </row>
    <row r="571">
      <c r="B571" s="32"/>
    </row>
    <row r="572">
      <c r="B572" s="32"/>
    </row>
    <row r="573">
      <c r="B573" s="32"/>
    </row>
    <row r="574">
      <c r="B574" s="32"/>
    </row>
    <row r="575">
      <c r="B575" s="32"/>
    </row>
    <row r="576">
      <c r="B576" s="32"/>
    </row>
    <row r="577">
      <c r="B577" s="32"/>
    </row>
    <row r="578">
      <c r="B578" s="32"/>
    </row>
    <row r="579">
      <c r="B579" s="32"/>
    </row>
    <row r="580">
      <c r="B580" s="32"/>
    </row>
    <row r="581">
      <c r="B581" s="32"/>
    </row>
    <row r="582">
      <c r="B582" s="32"/>
    </row>
    <row r="583">
      <c r="B583" s="32"/>
    </row>
    <row r="584">
      <c r="B584" s="32"/>
    </row>
    <row r="585">
      <c r="B585" s="32"/>
    </row>
    <row r="586">
      <c r="B586" s="32"/>
    </row>
    <row r="587">
      <c r="B587" s="32"/>
    </row>
    <row r="588">
      <c r="B588" s="32"/>
    </row>
    <row r="589">
      <c r="B589" s="32"/>
    </row>
    <row r="590">
      <c r="B590" s="32"/>
    </row>
    <row r="591">
      <c r="B591" s="32"/>
    </row>
    <row r="592">
      <c r="B592" s="32"/>
    </row>
    <row r="593">
      <c r="B593" s="32"/>
    </row>
    <row r="594">
      <c r="B594" s="32"/>
    </row>
    <row r="595">
      <c r="B595" s="32"/>
    </row>
    <row r="596">
      <c r="B596" s="32"/>
    </row>
    <row r="597">
      <c r="B597" s="32"/>
    </row>
    <row r="598">
      <c r="B598" s="32"/>
    </row>
    <row r="599">
      <c r="B599" s="32"/>
    </row>
    <row r="600">
      <c r="B600" s="32"/>
    </row>
    <row r="601">
      <c r="B601" s="32"/>
    </row>
    <row r="602">
      <c r="B602" s="32"/>
    </row>
    <row r="603">
      <c r="B603" s="32"/>
    </row>
    <row r="604">
      <c r="B604" s="32"/>
    </row>
    <row r="605">
      <c r="B605" s="32"/>
    </row>
    <row r="606">
      <c r="B606" s="32"/>
    </row>
    <row r="607">
      <c r="B607" s="32"/>
    </row>
    <row r="608">
      <c r="B608" s="32"/>
    </row>
    <row r="609">
      <c r="B609" s="32"/>
    </row>
    <row r="610">
      <c r="B610" s="32"/>
    </row>
    <row r="611">
      <c r="B611" s="32"/>
    </row>
    <row r="612">
      <c r="B612" s="32"/>
    </row>
    <row r="613">
      <c r="B613" s="32"/>
    </row>
    <row r="614">
      <c r="B614" s="32"/>
    </row>
    <row r="615">
      <c r="B615" s="32"/>
    </row>
    <row r="616">
      <c r="B616" s="32"/>
    </row>
    <row r="617">
      <c r="B617" s="32"/>
    </row>
    <row r="618">
      <c r="B618" s="32"/>
    </row>
    <row r="619">
      <c r="B619" s="32"/>
    </row>
    <row r="620">
      <c r="B620" s="32"/>
    </row>
    <row r="621">
      <c r="B621" s="32"/>
    </row>
    <row r="622">
      <c r="B622" s="32"/>
    </row>
    <row r="623">
      <c r="B623" s="32"/>
    </row>
    <row r="624">
      <c r="B624" s="32"/>
    </row>
    <row r="625">
      <c r="B625" s="32"/>
    </row>
    <row r="626">
      <c r="B626" s="32"/>
    </row>
    <row r="627">
      <c r="B627" s="32"/>
    </row>
    <row r="628">
      <c r="B628" s="32"/>
    </row>
    <row r="629">
      <c r="B629" s="32"/>
    </row>
    <row r="630">
      <c r="B630" s="32"/>
    </row>
    <row r="631">
      <c r="B631" s="32"/>
    </row>
    <row r="632">
      <c r="B632" s="32"/>
    </row>
    <row r="633">
      <c r="B633" s="32"/>
    </row>
    <row r="634">
      <c r="B634" s="32"/>
    </row>
    <row r="635">
      <c r="B635" s="32"/>
    </row>
    <row r="636">
      <c r="B636" s="32"/>
    </row>
    <row r="637">
      <c r="B637" s="32"/>
    </row>
    <row r="638">
      <c r="B638" s="32"/>
    </row>
    <row r="639">
      <c r="B639" s="32"/>
    </row>
    <row r="640">
      <c r="B640" s="32"/>
    </row>
    <row r="641">
      <c r="B641" s="32"/>
    </row>
    <row r="642">
      <c r="B642" s="32"/>
    </row>
    <row r="643">
      <c r="B643" s="32"/>
    </row>
    <row r="644">
      <c r="B644" s="32"/>
    </row>
    <row r="645">
      <c r="B645" s="32"/>
    </row>
    <row r="646">
      <c r="B646" s="32"/>
    </row>
    <row r="647">
      <c r="B647" s="32"/>
    </row>
    <row r="648">
      <c r="B648" s="32"/>
    </row>
    <row r="649">
      <c r="B649" s="32"/>
    </row>
    <row r="650">
      <c r="B650" s="32"/>
    </row>
    <row r="651">
      <c r="B651" s="32"/>
    </row>
    <row r="652">
      <c r="B652" s="32"/>
    </row>
    <row r="653">
      <c r="B653" s="32"/>
    </row>
    <row r="654">
      <c r="B654" s="32"/>
    </row>
    <row r="655">
      <c r="B655" s="32"/>
    </row>
    <row r="656">
      <c r="B656" s="32"/>
    </row>
    <row r="657">
      <c r="B657" s="32"/>
    </row>
    <row r="658">
      <c r="B658" s="32"/>
    </row>
    <row r="659">
      <c r="B659" s="32"/>
    </row>
    <row r="660">
      <c r="B660" s="32"/>
    </row>
    <row r="661">
      <c r="B661" s="32"/>
    </row>
    <row r="662">
      <c r="B662" s="32"/>
    </row>
    <row r="663">
      <c r="B663" s="32"/>
    </row>
    <row r="664">
      <c r="B664" s="32"/>
    </row>
    <row r="665">
      <c r="B665" s="32"/>
    </row>
    <row r="666">
      <c r="B666" s="32"/>
    </row>
    <row r="667">
      <c r="B667" s="32"/>
    </row>
    <row r="668">
      <c r="B668" s="32"/>
    </row>
    <row r="669">
      <c r="B669" s="32"/>
    </row>
    <row r="670">
      <c r="B670" s="32"/>
    </row>
    <row r="671">
      <c r="B671" s="32"/>
    </row>
    <row r="672">
      <c r="B672" s="32"/>
    </row>
    <row r="673">
      <c r="B673" s="32"/>
    </row>
    <row r="674">
      <c r="B674" s="32"/>
    </row>
    <row r="675">
      <c r="B675" s="32"/>
    </row>
    <row r="676">
      <c r="B676" s="32"/>
    </row>
    <row r="677">
      <c r="B677" s="32"/>
    </row>
    <row r="678">
      <c r="B678" s="32"/>
    </row>
    <row r="679">
      <c r="B679" s="32"/>
    </row>
    <row r="680">
      <c r="B680" s="32"/>
    </row>
    <row r="681">
      <c r="B681" s="32"/>
    </row>
    <row r="682">
      <c r="B682" s="32"/>
    </row>
    <row r="683">
      <c r="B683" s="32"/>
    </row>
    <row r="684">
      <c r="B684" s="32"/>
    </row>
    <row r="685">
      <c r="B685" s="32"/>
    </row>
    <row r="686">
      <c r="B686" s="32"/>
    </row>
    <row r="687">
      <c r="B687" s="32"/>
    </row>
    <row r="688">
      <c r="B688" s="32"/>
    </row>
    <row r="689">
      <c r="B689" s="32"/>
    </row>
    <row r="690">
      <c r="B690" s="32"/>
    </row>
    <row r="691">
      <c r="B691" s="32"/>
    </row>
    <row r="692">
      <c r="B692" s="32"/>
    </row>
    <row r="693">
      <c r="B693" s="32"/>
    </row>
    <row r="694">
      <c r="B694" s="32"/>
    </row>
    <row r="695">
      <c r="B695" s="32"/>
    </row>
    <row r="696">
      <c r="B696" s="32"/>
    </row>
    <row r="697">
      <c r="B697" s="32"/>
    </row>
    <row r="698">
      <c r="B698" s="32"/>
    </row>
    <row r="699">
      <c r="B699" s="32"/>
    </row>
    <row r="700">
      <c r="B700" s="32"/>
    </row>
    <row r="701">
      <c r="B701" s="32"/>
    </row>
    <row r="702">
      <c r="B702" s="32"/>
    </row>
    <row r="703">
      <c r="B703" s="32"/>
    </row>
    <row r="704">
      <c r="B704" s="32"/>
    </row>
    <row r="705">
      <c r="B705" s="32"/>
    </row>
    <row r="706">
      <c r="B706" s="32"/>
    </row>
    <row r="707">
      <c r="B707" s="32"/>
    </row>
    <row r="708">
      <c r="B708" s="32"/>
    </row>
    <row r="709">
      <c r="B709" s="32"/>
    </row>
    <row r="710">
      <c r="B710" s="32"/>
    </row>
    <row r="711">
      <c r="B711" s="32"/>
    </row>
    <row r="712">
      <c r="B712" s="32"/>
    </row>
    <row r="713">
      <c r="B713" s="32"/>
    </row>
    <row r="714">
      <c r="B714" s="32"/>
    </row>
    <row r="715">
      <c r="B715" s="32"/>
    </row>
    <row r="716">
      <c r="B716" s="32"/>
    </row>
    <row r="717">
      <c r="B717" s="32"/>
    </row>
    <row r="718">
      <c r="B718" s="32"/>
    </row>
    <row r="719">
      <c r="B719" s="32"/>
    </row>
    <row r="720">
      <c r="B720" s="32"/>
    </row>
    <row r="721">
      <c r="B721" s="32"/>
    </row>
    <row r="722">
      <c r="B722" s="32"/>
    </row>
    <row r="723">
      <c r="B723" s="32"/>
    </row>
    <row r="724">
      <c r="B724" s="32"/>
    </row>
    <row r="725">
      <c r="B725" s="32"/>
    </row>
    <row r="726">
      <c r="B726" s="32"/>
    </row>
    <row r="727">
      <c r="B727" s="32"/>
    </row>
    <row r="728">
      <c r="B728" s="32"/>
    </row>
    <row r="729">
      <c r="B729" s="32"/>
    </row>
    <row r="730">
      <c r="B730" s="32"/>
    </row>
    <row r="731">
      <c r="B731" s="32"/>
    </row>
    <row r="732">
      <c r="B732" s="32"/>
    </row>
    <row r="733">
      <c r="B733" s="32"/>
    </row>
    <row r="734">
      <c r="B734" s="32"/>
    </row>
    <row r="735">
      <c r="B735" s="32"/>
    </row>
    <row r="736">
      <c r="B736" s="32"/>
    </row>
    <row r="737">
      <c r="B737" s="32"/>
    </row>
    <row r="738">
      <c r="B738" s="32"/>
    </row>
    <row r="739">
      <c r="B739" s="32"/>
    </row>
    <row r="740">
      <c r="B740" s="32"/>
    </row>
    <row r="741">
      <c r="B741" s="32"/>
    </row>
    <row r="742">
      <c r="B742" s="32"/>
    </row>
    <row r="743">
      <c r="B743" s="32"/>
    </row>
    <row r="744">
      <c r="B744" s="32"/>
    </row>
    <row r="745">
      <c r="B745" s="32"/>
    </row>
    <row r="746">
      <c r="B746" s="32"/>
    </row>
    <row r="747">
      <c r="B747" s="32"/>
    </row>
    <row r="748">
      <c r="B748" s="32"/>
    </row>
    <row r="749">
      <c r="B749" s="32"/>
    </row>
    <row r="750">
      <c r="B750" s="32"/>
    </row>
    <row r="751">
      <c r="B751" s="32"/>
    </row>
    <row r="752">
      <c r="B752" s="32"/>
    </row>
    <row r="753">
      <c r="B753" s="32"/>
    </row>
    <row r="754">
      <c r="B754" s="32"/>
    </row>
    <row r="755">
      <c r="B755" s="32"/>
    </row>
    <row r="756">
      <c r="B756" s="32"/>
    </row>
    <row r="757">
      <c r="B757" s="32"/>
    </row>
    <row r="758">
      <c r="B758" s="32"/>
    </row>
    <row r="759">
      <c r="B759" s="32"/>
    </row>
    <row r="760">
      <c r="B760" s="32"/>
    </row>
    <row r="761">
      <c r="B761" s="32"/>
    </row>
    <row r="762">
      <c r="B762" s="32"/>
    </row>
    <row r="763">
      <c r="B763" s="32"/>
    </row>
    <row r="764">
      <c r="B764" s="32"/>
    </row>
    <row r="765">
      <c r="B765" s="32"/>
    </row>
    <row r="766">
      <c r="B766" s="32"/>
    </row>
    <row r="767">
      <c r="B767" s="32"/>
    </row>
    <row r="768">
      <c r="B768" s="32"/>
    </row>
    <row r="769">
      <c r="B769" s="32"/>
    </row>
    <row r="770">
      <c r="B770" s="32"/>
    </row>
    <row r="771">
      <c r="B771" s="32"/>
    </row>
    <row r="772">
      <c r="B772" s="32"/>
    </row>
    <row r="773">
      <c r="B773" s="32"/>
    </row>
    <row r="774">
      <c r="B774" s="32"/>
    </row>
    <row r="775">
      <c r="B775" s="32"/>
    </row>
    <row r="776">
      <c r="B776" s="32"/>
    </row>
    <row r="777">
      <c r="B777" s="32"/>
    </row>
    <row r="778">
      <c r="B778" s="32"/>
    </row>
    <row r="779">
      <c r="B779" s="32"/>
    </row>
    <row r="780">
      <c r="B780" s="32"/>
    </row>
    <row r="781">
      <c r="B781" s="32"/>
    </row>
    <row r="782">
      <c r="B782" s="32"/>
    </row>
    <row r="783">
      <c r="B783" s="32"/>
    </row>
    <row r="784">
      <c r="B784" s="32"/>
    </row>
    <row r="785">
      <c r="B785" s="32"/>
    </row>
    <row r="786">
      <c r="B786" s="32"/>
    </row>
    <row r="787">
      <c r="B787" s="32"/>
    </row>
    <row r="788">
      <c r="B788" s="32"/>
    </row>
    <row r="789">
      <c r="B789" s="32"/>
    </row>
    <row r="790">
      <c r="B790" s="32"/>
    </row>
    <row r="791">
      <c r="B791" s="32"/>
    </row>
    <row r="792">
      <c r="B792" s="32"/>
    </row>
    <row r="793">
      <c r="B793" s="32"/>
    </row>
    <row r="794">
      <c r="B794" s="32"/>
    </row>
    <row r="795">
      <c r="B795" s="32"/>
    </row>
    <row r="796">
      <c r="B796" s="32"/>
    </row>
    <row r="797">
      <c r="B797" s="32"/>
    </row>
    <row r="798">
      <c r="B798" s="32"/>
    </row>
    <row r="799">
      <c r="B799" s="32"/>
    </row>
    <row r="800">
      <c r="B800" s="32"/>
    </row>
    <row r="801">
      <c r="B801" s="32"/>
    </row>
    <row r="802">
      <c r="B802" s="32"/>
    </row>
    <row r="803">
      <c r="B803" s="32"/>
    </row>
    <row r="804">
      <c r="B804" s="32"/>
    </row>
    <row r="805">
      <c r="B805" s="32"/>
    </row>
    <row r="806">
      <c r="B806" s="32"/>
    </row>
    <row r="807">
      <c r="B807" s="32"/>
    </row>
    <row r="808">
      <c r="B808" s="32"/>
    </row>
    <row r="809">
      <c r="B809" s="32"/>
    </row>
    <row r="810">
      <c r="B810" s="32"/>
    </row>
    <row r="811">
      <c r="B811" s="32"/>
    </row>
    <row r="812">
      <c r="B812" s="32"/>
    </row>
    <row r="813">
      <c r="B813" s="32"/>
    </row>
    <row r="814">
      <c r="B814" s="32"/>
    </row>
    <row r="815">
      <c r="B815" s="32"/>
    </row>
    <row r="816">
      <c r="B816" s="32"/>
    </row>
    <row r="817">
      <c r="B817" s="32"/>
    </row>
    <row r="818">
      <c r="B818" s="32"/>
    </row>
    <row r="819">
      <c r="B819" s="32"/>
    </row>
    <row r="820">
      <c r="B820" s="32"/>
    </row>
    <row r="821">
      <c r="B821" s="32"/>
    </row>
    <row r="822">
      <c r="B822" s="32"/>
    </row>
    <row r="823">
      <c r="B823" s="32"/>
    </row>
    <row r="824">
      <c r="B824" s="32"/>
    </row>
    <row r="825">
      <c r="B825" s="32"/>
    </row>
    <row r="826">
      <c r="B826" s="32"/>
    </row>
    <row r="827">
      <c r="B827" s="32"/>
    </row>
    <row r="828">
      <c r="B828" s="32"/>
    </row>
    <row r="829">
      <c r="B829" s="32"/>
    </row>
    <row r="830">
      <c r="B830" s="32"/>
    </row>
    <row r="831">
      <c r="B831" s="32"/>
    </row>
    <row r="832">
      <c r="B832" s="32"/>
    </row>
    <row r="833">
      <c r="B833" s="32"/>
    </row>
    <row r="834">
      <c r="B834" s="32"/>
    </row>
    <row r="835">
      <c r="B835" s="32"/>
    </row>
    <row r="836">
      <c r="B836" s="32"/>
    </row>
    <row r="837">
      <c r="B837" s="32"/>
    </row>
    <row r="838">
      <c r="B838" s="32"/>
    </row>
    <row r="839">
      <c r="B839" s="32"/>
    </row>
    <row r="840">
      <c r="B840" s="32"/>
    </row>
    <row r="841">
      <c r="B841" s="32"/>
    </row>
    <row r="842">
      <c r="B842" s="32"/>
    </row>
    <row r="843">
      <c r="B843" s="32"/>
    </row>
    <row r="844">
      <c r="B844" s="32"/>
    </row>
    <row r="845">
      <c r="B845" s="32"/>
    </row>
    <row r="846">
      <c r="B846" s="32"/>
    </row>
    <row r="847">
      <c r="B847" s="32"/>
    </row>
    <row r="848">
      <c r="B848" s="32"/>
    </row>
    <row r="849">
      <c r="B849" s="32"/>
    </row>
    <row r="850">
      <c r="B850" s="32"/>
    </row>
    <row r="851">
      <c r="B851" s="32"/>
    </row>
    <row r="852">
      <c r="B852" s="32"/>
    </row>
    <row r="853">
      <c r="B853" s="32"/>
    </row>
    <row r="854">
      <c r="B854" s="32"/>
    </row>
    <row r="855">
      <c r="B855" s="32"/>
    </row>
    <row r="856">
      <c r="B856" s="32"/>
    </row>
    <row r="857">
      <c r="B857" s="32"/>
    </row>
    <row r="858">
      <c r="B858" s="32"/>
    </row>
    <row r="859">
      <c r="B859" s="32"/>
    </row>
    <row r="860">
      <c r="B860" s="32"/>
    </row>
    <row r="861">
      <c r="B861" s="32"/>
    </row>
    <row r="862">
      <c r="B862" s="32"/>
    </row>
    <row r="863">
      <c r="B863" s="32"/>
    </row>
    <row r="864">
      <c r="B864" s="32"/>
    </row>
    <row r="865">
      <c r="B865" s="32"/>
    </row>
    <row r="866">
      <c r="B866" s="32"/>
    </row>
    <row r="867">
      <c r="B867" s="32"/>
    </row>
    <row r="868">
      <c r="B868" s="32"/>
    </row>
    <row r="869">
      <c r="B869" s="32"/>
    </row>
    <row r="870">
      <c r="B870" s="32"/>
    </row>
    <row r="871">
      <c r="B871" s="32"/>
    </row>
    <row r="872">
      <c r="B872" s="32"/>
    </row>
    <row r="873">
      <c r="B873" s="32"/>
    </row>
    <row r="874">
      <c r="B874" s="32"/>
    </row>
    <row r="875">
      <c r="B875" s="32"/>
    </row>
    <row r="876">
      <c r="B876" s="32"/>
    </row>
    <row r="877">
      <c r="B877" s="32"/>
    </row>
    <row r="878">
      <c r="B878" s="32"/>
    </row>
    <row r="879">
      <c r="B879" s="32"/>
    </row>
    <row r="880">
      <c r="B880" s="32"/>
    </row>
    <row r="881">
      <c r="B881" s="32"/>
    </row>
    <row r="882">
      <c r="B882" s="32"/>
    </row>
    <row r="883">
      <c r="B883" s="32"/>
    </row>
    <row r="884">
      <c r="B884" s="32"/>
    </row>
    <row r="885">
      <c r="B885" s="32"/>
    </row>
    <row r="886">
      <c r="B886" s="32"/>
    </row>
    <row r="887">
      <c r="B887" s="32"/>
    </row>
    <row r="888">
      <c r="B888" s="32"/>
    </row>
    <row r="889">
      <c r="B889" s="32"/>
    </row>
    <row r="890">
      <c r="B890" s="32"/>
    </row>
    <row r="891">
      <c r="B891" s="32"/>
    </row>
    <row r="892">
      <c r="B892" s="32"/>
    </row>
    <row r="893">
      <c r="B893" s="32"/>
    </row>
    <row r="894">
      <c r="B894" s="32"/>
    </row>
    <row r="895">
      <c r="B895" s="32"/>
    </row>
    <row r="896">
      <c r="B896" s="32"/>
    </row>
    <row r="897">
      <c r="B897" s="32"/>
    </row>
    <row r="898">
      <c r="B898" s="32"/>
    </row>
    <row r="899">
      <c r="B899" s="32"/>
    </row>
    <row r="900">
      <c r="B900" s="32"/>
    </row>
    <row r="901">
      <c r="B901" s="32"/>
    </row>
    <row r="902">
      <c r="B902" s="32"/>
    </row>
    <row r="903">
      <c r="B903" s="32"/>
    </row>
    <row r="904">
      <c r="B904" s="32"/>
    </row>
    <row r="905">
      <c r="B905" s="32"/>
    </row>
    <row r="906">
      <c r="B906" s="32"/>
    </row>
    <row r="907">
      <c r="B907" s="32"/>
    </row>
    <row r="908">
      <c r="B908" s="32"/>
    </row>
    <row r="909">
      <c r="B909" s="32"/>
    </row>
    <row r="910">
      <c r="B910" s="32"/>
    </row>
    <row r="911">
      <c r="B911" s="32"/>
    </row>
    <row r="912">
      <c r="B912" s="32"/>
    </row>
    <row r="913">
      <c r="B913" s="32"/>
    </row>
    <row r="914">
      <c r="B914" s="32"/>
    </row>
    <row r="915">
      <c r="B915" s="32"/>
    </row>
    <row r="916">
      <c r="B916" s="32"/>
    </row>
    <row r="917">
      <c r="B917" s="32"/>
    </row>
    <row r="918">
      <c r="B918" s="32"/>
    </row>
    <row r="919">
      <c r="B919" s="32"/>
    </row>
    <row r="920">
      <c r="B920" s="32"/>
    </row>
    <row r="921">
      <c r="B921" s="32"/>
    </row>
    <row r="922">
      <c r="B922" s="32"/>
    </row>
    <row r="923">
      <c r="B923" s="32"/>
    </row>
    <row r="924">
      <c r="B924" s="32"/>
    </row>
    <row r="925">
      <c r="B925" s="32"/>
    </row>
    <row r="926">
      <c r="B926" s="32"/>
    </row>
    <row r="927">
      <c r="B927" s="32"/>
    </row>
    <row r="928">
      <c r="B928" s="32"/>
    </row>
    <row r="929">
      <c r="B929" s="32"/>
    </row>
    <row r="930">
      <c r="B930" s="32"/>
    </row>
    <row r="931">
      <c r="B931" s="32"/>
    </row>
    <row r="932">
      <c r="B932" s="32"/>
    </row>
    <row r="933">
      <c r="B933" s="32"/>
    </row>
    <row r="934">
      <c r="B934" s="32"/>
    </row>
    <row r="935">
      <c r="B935" s="32"/>
    </row>
    <row r="936">
      <c r="B936" s="32"/>
    </row>
    <row r="937">
      <c r="B937" s="32"/>
    </row>
    <row r="938">
      <c r="B938" s="32"/>
    </row>
    <row r="939">
      <c r="B939" s="32"/>
    </row>
    <row r="940">
      <c r="B940" s="32"/>
    </row>
    <row r="941">
      <c r="B941" s="32"/>
    </row>
    <row r="942">
      <c r="B942" s="32"/>
    </row>
    <row r="943">
      <c r="B943" s="32"/>
    </row>
    <row r="944">
      <c r="B944" s="32"/>
    </row>
    <row r="945">
      <c r="B945" s="32"/>
    </row>
    <row r="946">
      <c r="B946" s="32"/>
    </row>
    <row r="947">
      <c r="B947" s="32"/>
    </row>
    <row r="948">
      <c r="B948" s="32"/>
    </row>
    <row r="949">
      <c r="B949" s="32"/>
    </row>
    <row r="950">
      <c r="B950" s="32"/>
    </row>
    <row r="951">
      <c r="B951" s="32"/>
    </row>
    <row r="952">
      <c r="B952" s="32"/>
    </row>
    <row r="953">
      <c r="B953" s="32"/>
    </row>
    <row r="954">
      <c r="B954" s="32"/>
    </row>
    <row r="955">
      <c r="B955" s="32"/>
    </row>
    <row r="956">
      <c r="B956" s="32"/>
    </row>
    <row r="957">
      <c r="B957" s="32"/>
    </row>
    <row r="958">
      <c r="B958" s="32"/>
    </row>
    <row r="959">
      <c r="B959" s="32"/>
    </row>
    <row r="960">
      <c r="B960" s="32"/>
    </row>
    <row r="961">
      <c r="B961" s="32"/>
    </row>
    <row r="962">
      <c r="B962" s="32"/>
    </row>
    <row r="963">
      <c r="B963" s="32"/>
    </row>
    <row r="964">
      <c r="B964" s="32"/>
    </row>
    <row r="965">
      <c r="B965" s="32"/>
    </row>
    <row r="966">
      <c r="B966" s="32"/>
    </row>
    <row r="967">
      <c r="B967" s="32"/>
    </row>
    <row r="968">
      <c r="B968" s="32"/>
    </row>
    <row r="969">
      <c r="B969" s="32"/>
    </row>
    <row r="970">
      <c r="B970" s="32"/>
    </row>
    <row r="971">
      <c r="B971" s="32"/>
    </row>
    <row r="972">
      <c r="B972" s="32"/>
    </row>
    <row r="973">
      <c r="B973" s="32"/>
    </row>
    <row r="974">
      <c r="B974" s="32"/>
    </row>
    <row r="975">
      <c r="B975" s="32"/>
    </row>
    <row r="976">
      <c r="B976" s="32"/>
    </row>
    <row r="977">
      <c r="B977" s="32"/>
    </row>
    <row r="978">
      <c r="B978" s="32"/>
    </row>
    <row r="979">
      <c r="B979" s="32"/>
    </row>
    <row r="980">
      <c r="B980" s="32"/>
    </row>
    <row r="981">
      <c r="B981" s="32"/>
    </row>
    <row r="982">
      <c r="B982" s="32"/>
    </row>
    <row r="983">
      <c r="B983" s="32"/>
    </row>
    <row r="984">
      <c r="B984" s="32"/>
    </row>
    <row r="985">
      <c r="B985" s="32"/>
    </row>
    <row r="986">
      <c r="B986" s="32"/>
    </row>
    <row r="987">
      <c r="B987" s="32"/>
    </row>
    <row r="988">
      <c r="B988" s="32"/>
    </row>
    <row r="989">
      <c r="B989" s="32"/>
    </row>
    <row r="990">
      <c r="B990" s="32"/>
    </row>
    <row r="991">
      <c r="B991" s="32"/>
    </row>
    <row r="992">
      <c r="B992" s="32"/>
    </row>
    <row r="993">
      <c r="B993" s="32"/>
    </row>
    <row r="994">
      <c r="B994" s="32"/>
    </row>
    <row r="995">
      <c r="B995" s="32"/>
    </row>
    <row r="996">
      <c r="B996" s="32"/>
    </row>
    <row r="997">
      <c r="B997" s="32"/>
    </row>
    <row r="998">
      <c r="B998" s="32"/>
    </row>
    <row r="999">
      <c r="B999" s="32"/>
    </row>
    <row r="1000">
      <c r="B1000" s="3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0</v>
      </c>
      <c r="B1" s="34" t="s">
        <v>1</v>
      </c>
      <c r="C1" s="35"/>
    </row>
    <row r="2">
      <c r="A2" s="36">
        <v>45972.0</v>
      </c>
      <c r="B2" s="37">
        <v>102997.0</v>
      </c>
      <c r="C2" s="35"/>
    </row>
    <row r="3">
      <c r="A3" s="36">
        <v>45971.0</v>
      </c>
      <c r="B3" s="37">
        <v>105997.0</v>
      </c>
      <c r="C3" s="35"/>
    </row>
    <row r="4">
      <c r="A4" s="36">
        <v>45970.0</v>
      </c>
      <c r="B4" s="37">
        <v>104720.0</v>
      </c>
      <c r="C4" s="35"/>
    </row>
    <row r="5">
      <c r="A5" s="36">
        <v>45969.0</v>
      </c>
      <c r="B5" s="37">
        <v>102282.0</v>
      </c>
      <c r="C5" s="35"/>
    </row>
    <row r="6">
      <c r="A6" s="36">
        <v>45968.0</v>
      </c>
      <c r="B6" s="37">
        <v>103372.0</v>
      </c>
      <c r="C6" s="35"/>
    </row>
    <row r="7">
      <c r="A7" s="36">
        <v>45967.0</v>
      </c>
      <c r="B7" s="37">
        <v>101301.0</v>
      </c>
      <c r="C7" s="35"/>
    </row>
    <row r="8">
      <c r="A8" s="9"/>
      <c r="B8" s="38"/>
    </row>
    <row r="9">
      <c r="A9" s="9"/>
      <c r="B9" s="38"/>
    </row>
    <row r="10">
      <c r="A10" s="9"/>
      <c r="B10" s="38"/>
    </row>
    <row r="11">
      <c r="A11" s="9"/>
      <c r="B11" s="38"/>
    </row>
    <row r="12">
      <c r="A12" s="9"/>
      <c r="B12" s="38"/>
    </row>
    <row r="13">
      <c r="A13" s="9"/>
      <c r="B13" s="38"/>
    </row>
    <row r="14">
      <c r="A14" s="9"/>
      <c r="B14" s="38"/>
    </row>
    <row r="15">
      <c r="A15" s="9"/>
      <c r="B15" s="38"/>
    </row>
    <row r="16">
      <c r="A16" s="9"/>
      <c r="B16" s="38"/>
    </row>
    <row r="17">
      <c r="A17" s="9"/>
      <c r="B17" s="38"/>
    </row>
    <row r="18">
      <c r="A18" s="9"/>
      <c r="B18" s="38"/>
    </row>
    <row r="19">
      <c r="A19" s="9"/>
      <c r="B19" s="38"/>
    </row>
    <row r="20">
      <c r="A20" s="9"/>
      <c r="B20" s="38"/>
    </row>
    <row r="21">
      <c r="A21" s="9"/>
      <c r="B21" s="38"/>
    </row>
    <row r="22">
      <c r="A22" s="9"/>
      <c r="B22" s="38"/>
    </row>
    <row r="23">
      <c r="A23" s="9"/>
      <c r="B23" s="38"/>
      <c r="C23" s="15" t="s">
        <v>23</v>
      </c>
    </row>
    <row r="24">
      <c r="A24" s="9"/>
      <c r="B24" s="38"/>
      <c r="C24" s="15" t="s">
        <v>24</v>
      </c>
    </row>
    <row r="25">
      <c r="A25" s="9"/>
      <c r="B25" s="38"/>
    </row>
    <row r="26">
      <c r="A26" s="9"/>
      <c r="B26" s="38"/>
    </row>
    <row r="27">
      <c r="A27" s="9"/>
      <c r="B27" s="38"/>
    </row>
    <row r="28">
      <c r="A28" s="9"/>
      <c r="B28" s="38"/>
    </row>
    <row r="29">
      <c r="A29" s="9"/>
      <c r="B29" s="38"/>
    </row>
    <row r="30">
      <c r="A30" s="9"/>
      <c r="B30" s="38"/>
    </row>
    <row r="31">
      <c r="A31" s="9"/>
      <c r="B31" s="38"/>
    </row>
    <row r="32">
      <c r="A32" s="9"/>
      <c r="B32" s="38"/>
    </row>
    <row r="33">
      <c r="A33" s="9"/>
      <c r="B33" s="38"/>
    </row>
    <row r="34">
      <c r="A34" s="9"/>
      <c r="B34" s="38"/>
    </row>
    <row r="35">
      <c r="A35" s="9"/>
      <c r="B35" s="38"/>
    </row>
    <row r="36">
      <c r="A36" s="9"/>
      <c r="B36" s="38"/>
    </row>
    <row r="37">
      <c r="A37" s="9"/>
      <c r="B37" s="38"/>
    </row>
    <row r="38">
      <c r="A38" s="9"/>
      <c r="B38" s="38"/>
    </row>
    <row r="39">
      <c r="A39" s="9"/>
      <c r="B39" s="38"/>
    </row>
    <row r="40">
      <c r="A40" s="9"/>
      <c r="B40" s="38"/>
    </row>
    <row r="41">
      <c r="A41" s="9"/>
      <c r="B41" s="38"/>
    </row>
    <row r="42">
      <c r="A42" s="9"/>
      <c r="B42" s="38"/>
    </row>
    <row r="43">
      <c r="A43" s="9"/>
      <c r="B43" s="38"/>
    </row>
    <row r="44">
      <c r="A44" s="9"/>
      <c r="B44" s="38"/>
    </row>
    <row r="45">
      <c r="A45" s="9"/>
      <c r="B45" s="38"/>
    </row>
    <row r="46">
      <c r="A46" s="9"/>
      <c r="B46" s="38"/>
    </row>
    <row r="47">
      <c r="A47" s="9"/>
      <c r="B47" s="38"/>
    </row>
    <row r="48">
      <c r="A48" s="9"/>
      <c r="B48" s="38"/>
    </row>
    <row r="49">
      <c r="A49" s="9"/>
      <c r="B49" s="38"/>
    </row>
    <row r="50">
      <c r="A50" s="9"/>
      <c r="B50" s="38"/>
    </row>
    <row r="51">
      <c r="A51" s="9"/>
      <c r="B51" s="38"/>
    </row>
    <row r="52">
      <c r="A52" s="9"/>
      <c r="B52" s="38"/>
    </row>
    <row r="53">
      <c r="A53" s="9"/>
      <c r="B53" s="38"/>
    </row>
    <row r="54">
      <c r="A54" s="9"/>
      <c r="B54" s="38"/>
    </row>
    <row r="55">
      <c r="A55" s="9"/>
      <c r="B55" s="38"/>
    </row>
    <row r="56">
      <c r="A56" s="9"/>
      <c r="B56" s="38"/>
    </row>
    <row r="57">
      <c r="A57" s="9"/>
      <c r="B57" s="38"/>
    </row>
    <row r="58">
      <c r="A58" s="9"/>
      <c r="B58" s="38"/>
    </row>
    <row r="59">
      <c r="A59" s="9"/>
      <c r="B59" s="38"/>
    </row>
    <row r="60">
      <c r="A60" s="9"/>
      <c r="B60" s="38"/>
    </row>
    <row r="61">
      <c r="A61" s="9"/>
      <c r="B61" s="38"/>
    </row>
    <row r="62">
      <c r="A62" s="9"/>
      <c r="B62" s="38"/>
    </row>
    <row r="63">
      <c r="A63" s="9"/>
      <c r="B63" s="38"/>
    </row>
    <row r="64">
      <c r="A64" s="9"/>
      <c r="B64" s="38"/>
    </row>
    <row r="65">
      <c r="A65" s="9"/>
      <c r="B65" s="38"/>
    </row>
    <row r="66">
      <c r="A66" s="9"/>
      <c r="B66" s="38"/>
    </row>
    <row r="67">
      <c r="A67" s="9"/>
      <c r="B67" s="38"/>
    </row>
    <row r="68">
      <c r="A68" s="9"/>
      <c r="B68" s="38"/>
    </row>
    <row r="69">
      <c r="A69" s="9"/>
      <c r="B69" s="38"/>
    </row>
    <row r="70">
      <c r="A70" s="9"/>
      <c r="B70" s="38"/>
    </row>
    <row r="71">
      <c r="A71" s="9"/>
      <c r="B71" s="38"/>
    </row>
    <row r="72">
      <c r="A72" s="9"/>
      <c r="B72" s="38"/>
    </row>
    <row r="73">
      <c r="A73" s="9"/>
      <c r="B73" s="38"/>
    </row>
    <row r="74">
      <c r="A74" s="9"/>
      <c r="B74" s="38"/>
    </row>
    <row r="75">
      <c r="A75" s="9"/>
      <c r="B75" s="38"/>
    </row>
    <row r="76">
      <c r="A76" s="9"/>
      <c r="B76" s="38"/>
    </row>
    <row r="77">
      <c r="A77" s="9"/>
      <c r="B77" s="38"/>
    </row>
    <row r="78">
      <c r="A78" s="9"/>
      <c r="B78" s="38"/>
    </row>
    <row r="79">
      <c r="A79" s="9"/>
      <c r="B79" s="38"/>
    </row>
    <row r="80">
      <c r="A80" s="9"/>
      <c r="B80" s="38"/>
    </row>
    <row r="81">
      <c r="A81" s="9"/>
      <c r="B81" s="38"/>
    </row>
    <row r="82">
      <c r="A82" s="9"/>
      <c r="B82" s="38"/>
    </row>
    <row r="83">
      <c r="A83" s="9"/>
      <c r="B83" s="38"/>
    </row>
    <row r="84">
      <c r="A84" s="9"/>
      <c r="B84" s="38"/>
    </row>
    <row r="85">
      <c r="A85" s="9"/>
      <c r="B85" s="38"/>
    </row>
    <row r="86">
      <c r="A86" s="9"/>
      <c r="B86" s="38"/>
    </row>
    <row r="87">
      <c r="A87" s="9"/>
      <c r="B87" s="38"/>
    </row>
    <row r="88">
      <c r="A88" s="9"/>
      <c r="B88" s="38"/>
    </row>
    <row r="89">
      <c r="A89" s="9"/>
      <c r="B89" s="38"/>
    </row>
    <row r="90">
      <c r="A90" s="9"/>
      <c r="B90" s="38"/>
    </row>
    <row r="91">
      <c r="A91" s="9"/>
      <c r="B91" s="38"/>
    </row>
    <row r="92">
      <c r="A92" s="9"/>
      <c r="B92" s="38"/>
    </row>
    <row r="93">
      <c r="A93" s="9"/>
      <c r="B93" s="38"/>
    </row>
    <row r="94">
      <c r="A94" s="9"/>
      <c r="B94" s="38"/>
    </row>
    <row r="95">
      <c r="A95" s="9"/>
      <c r="B95" s="38"/>
    </row>
    <row r="96">
      <c r="A96" s="9"/>
      <c r="B96" s="38"/>
    </row>
    <row r="97">
      <c r="A97" s="9"/>
      <c r="B97" s="38"/>
    </row>
    <row r="98">
      <c r="A98" s="9"/>
      <c r="B98" s="38"/>
    </row>
    <row r="99">
      <c r="A99" s="9"/>
      <c r="B99" s="38"/>
    </row>
    <row r="100">
      <c r="A100" s="9"/>
      <c r="B100" s="38"/>
    </row>
    <row r="101">
      <c r="A101" s="9"/>
      <c r="B101" s="38"/>
    </row>
    <row r="102">
      <c r="A102" s="9"/>
      <c r="B102" s="38"/>
    </row>
    <row r="103">
      <c r="A103" s="9"/>
      <c r="B103" s="38"/>
    </row>
    <row r="104">
      <c r="A104" s="9"/>
      <c r="B104" s="38"/>
    </row>
    <row r="105">
      <c r="A105" s="9"/>
      <c r="B105" s="38"/>
    </row>
    <row r="106">
      <c r="A106" s="9"/>
      <c r="B106" s="38"/>
    </row>
    <row r="107">
      <c r="A107" s="9"/>
      <c r="B107" s="38"/>
    </row>
    <row r="108">
      <c r="A108" s="9"/>
      <c r="B108" s="38"/>
    </row>
    <row r="109">
      <c r="A109" s="9"/>
      <c r="B109" s="38"/>
    </row>
    <row r="110">
      <c r="A110" s="9"/>
      <c r="B110" s="38"/>
    </row>
    <row r="111">
      <c r="A111" s="9"/>
      <c r="B111" s="38"/>
    </row>
    <row r="112">
      <c r="A112" s="9"/>
      <c r="B112" s="38"/>
    </row>
    <row r="113">
      <c r="A113" s="9"/>
      <c r="B113" s="38"/>
    </row>
    <row r="114">
      <c r="A114" s="9"/>
      <c r="B114" s="38"/>
    </row>
    <row r="115">
      <c r="A115" s="9"/>
      <c r="B115" s="38"/>
    </row>
    <row r="116">
      <c r="A116" s="9"/>
      <c r="B116" s="38"/>
    </row>
    <row r="117">
      <c r="A117" s="9"/>
      <c r="B117" s="38"/>
    </row>
    <row r="118">
      <c r="A118" s="9"/>
      <c r="B118" s="38"/>
    </row>
    <row r="119">
      <c r="A119" s="9"/>
      <c r="B119" s="38"/>
    </row>
    <row r="120">
      <c r="A120" s="9"/>
      <c r="B120" s="38"/>
    </row>
    <row r="121">
      <c r="A121" s="9"/>
      <c r="B121" s="38"/>
    </row>
    <row r="122">
      <c r="A122" s="9"/>
      <c r="B122" s="38"/>
    </row>
    <row r="123">
      <c r="A123" s="9"/>
      <c r="B123" s="38"/>
    </row>
    <row r="124">
      <c r="A124" s="9"/>
      <c r="B124" s="38"/>
    </row>
    <row r="125">
      <c r="A125" s="9"/>
      <c r="B125" s="38"/>
    </row>
    <row r="126">
      <c r="A126" s="9"/>
      <c r="B126" s="38"/>
    </row>
    <row r="127">
      <c r="A127" s="9"/>
      <c r="B127" s="38"/>
    </row>
    <row r="128">
      <c r="A128" s="9"/>
      <c r="B128" s="38"/>
    </row>
    <row r="129">
      <c r="A129" s="9"/>
      <c r="B129" s="38"/>
    </row>
    <row r="130">
      <c r="A130" s="9"/>
      <c r="B130" s="38"/>
    </row>
    <row r="131">
      <c r="A131" s="9"/>
      <c r="B131" s="38"/>
    </row>
    <row r="132">
      <c r="A132" s="9"/>
      <c r="B132" s="38"/>
    </row>
    <row r="133">
      <c r="A133" s="9"/>
      <c r="B133" s="38"/>
    </row>
    <row r="134">
      <c r="A134" s="9"/>
      <c r="B134" s="38"/>
    </row>
    <row r="135">
      <c r="A135" s="9"/>
      <c r="B135" s="38"/>
    </row>
    <row r="136">
      <c r="A136" s="9"/>
      <c r="B136" s="38"/>
    </row>
    <row r="137">
      <c r="A137" s="9"/>
      <c r="B137" s="38"/>
    </row>
    <row r="138">
      <c r="A138" s="9"/>
      <c r="B138" s="38"/>
    </row>
    <row r="139">
      <c r="A139" s="9"/>
      <c r="B139" s="38"/>
    </row>
    <row r="140">
      <c r="A140" s="9"/>
      <c r="B140" s="38"/>
    </row>
    <row r="141">
      <c r="A141" s="9"/>
      <c r="B141" s="38"/>
    </row>
    <row r="142">
      <c r="A142" s="9"/>
      <c r="B142" s="38"/>
    </row>
    <row r="143">
      <c r="A143" s="9"/>
      <c r="B143" s="38"/>
    </row>
    <row r="144">
      <c r="A144" s="9"/>
      <c r="B144" s="38"/>
    </row>
    <row r="145">
      <c r="A145" s="9"/>
      <c r="B145" s="38"/>
    </row>
    <row r="146">
      <c r="A146" s="9"/>
      <c r="B146" s="38"/>
    </row>
    <row r="147">
      <c r="A147" s="9"/>
      <c r="B147" s="38"/>
    </row>
    <row r="148">
      <c r="A148" s="9"/>
      <c r="B148" s="38"/>
    </row>
    <row r="149">
      <c r="A149" s="9"/>
      <c r="B149" s="38"/>
    </row>
    <row r="150">
      <c r="A150" s="9"/>
      <c r="B150" s="38"/>
    </row>
    <row r="151">
      <c r="A151" s="9"/>
      <c r="B151" s="38"/>
    </row>
    <row r="152">
      <c r="A152" s="9"/>
      <c r="B152" s="38"/>
    </row>
    <row r="153">
      <c r="A153" s="9"/>
      <c r="B153" s="38"/>
    </row>
    <row r="154">
      <c r="A154" s="9"/>
      <c r="B154" s="38"/>
    </row>
    <row r="155">
      <c r="A155" s="9"/>
      <c r="B155" s="38"/>
    </row>
    <row r="156">
      <c r="A156" s="9"/>
      <c r="B156" s="38"/>
    </row>
    <row r="157">
      <c r="A157" s="9"/>
      <c r="B157" s="38"/>
    </row>
    <row r="158">
      <c r="A158" s="9"/>
      <c r="B158" s="38"/>
    </row>
    <row r="159">
      <c r="A159" s="9"/>
      <c r="B159" s="38"/>
    </row>
    <row r="160">
      <c r="A160" s="9"/>
      <c r="B160" s="38"/>
    </row>
    <row r="161">
      <c r="A161" s="9"/>
      <c r="B161" s="38"/>
    </row>
    <row r="162">
      <c r="A162" s="9"/>
      <c r="B162" s="38"/>
    </row>
    <row r="163">
      <c r="A163" s="9"/>
      <c r="B163" s="38"/>
    </row>
    <row r="164">
      <c r="A164" s="9"/>
      <c r="B164" s="38"/>
    </row>
    <row r="165">
      <c r="A165" s="9"/>
      <c r="B165" s="38"/>
    </row>
    <row r="166">
      <c r="A166" s="9"/>
      <c r="B166" s="38"/>
    </row>
    <row r="167">
      <c r="A167" s="9"/>
      <c r="B167" s="38"/>
    </row>
    <row r="168">
      <c r="A168" s="9"/>
      <c r="B168" s="38"/>
    </row>
    <row r="169">
      <c r="A169" s="9"/>
      <c r="B169" s="38"/>
    </row>
    <row r="170">
      <c r="A170" s="9"/>
      <c r="B170" s="38"/>
    </row>
    <row r="171">
      <c r="A171" s="9"/>
      <c r="B171" s="38"/>
    </row>
    <row r="172">
      <c r="A172" s="9"/>
      <c r="B172" s="38"/>
    </row>
    <row r="173">
      <c r="A173" s="9"/>
      <c r="B173" s="38"/>
    </row>
    <row r="174">
      <c r="A174" s="9"/>
      <c r="B174" s="38"/>
    </row>
    <row r="175">
      <c r="A175" s="9"/>
      <c r="B175" s="38"/>
    </row>
    <row r="176">
      <c r="A176" s="9"/>
      <c r="B176" s="38"/>
    </row>
    <row r="177">
      <c r="A177" s="9"/>
      <c r="B177" s="38"/>
    </row>
    <row r="178">
      <c r="A178" s="9"/>
      <c r="B178" s="38"/>
    </row>
    <row r="179">
      <c r="A179" s="9"/>
      <c r="B179" s="38"/>
    </row>
    <row r="180">
      <c r="A180" s="9"/>
      <c r="B180" s="38"/>
    </row>
    <row r="181">
      <c r="A181" s="9"/>
      <c r="B181" s="38"/>
    </row>
    <row r="182">
      <c r="A182" s="9"/>
      <c r="B182" s="38"/>
    </row>
    <row r="183">
      <c r="A183" s="9"/>
      <c r="B183" s="38"/>
    </row>
    <row r="184">
      <c r="A184" s="9"/>
      <c r="B184" s="38"/>
    </row>
    <row r="185">
      <c r="A185" s="9"/>
      <c r="B185" s="38"/>
    </row>
    <row r="186">
      <c r="A186" s="9"/>
      <c r="B186" s="38"/>
    </row>
    <row r="187">
      <c r="A187" s="9"/>
      <c r="B187" s="38"/>
    </row>
    <row r="188">
      <c r="A188" s="9"/>
      <c r="B188" s="38"/>
    </row>
    <row r="189">
      <c r="A189" s="9"/>
      <c r="B189" s="38"/>
    </row>
    <row r="190">
      <c r="A190" s="9"/>
      <c r="B190" s="38"/>
    </row>
    <row r="191">
      <c r="A191" s="9"/>
      <c r="B191" s="38"/>
    </row>
    <row r="192">
      <c r="A192" s="9"/>
      <c r="B192" s="38"/>
    </row>
    <row r="193">
      <c r="A193" s="9"/>
      <c r="B193" s="38"/>
    </row>
    <row r="194">
      <c r="A194" s="9"/>
      <c r="B194" s="38"/>
    </row>
    <row r="195">
      <c r="A195" s="9"/>
      <c r="B195" s="38"/>
    </row>
    <row r="196">
      <c r="A196" s="9"/>
      <c r="B196" s="38"/>
    </row>
    <row r="197">
      <c r="A197" s="9"/>
      <c r="B197" s="38"/>
    </row>
    <row r="198">
      <c r="A198" s="9"/>
      <c r="B198" s="38"/>
    </row>
    <row r="199">
      <c r="A199" s="9"/>
      <c r="B199" s="38"/>
    </row>
    <row r="200">
      <c r="A200" s="9"/>
      <c r="B200" s="38"/>
    </row>
    <row r="201">
      <c r="A201" s="9"/>
      <c r="B201" s="38"/>
    </row>
    <row r="202">
      <c r="A202" s="9"/>
      <c r="B202" s="38"/>
    </row>
    <row r="203">
      <c r="A203" s="9"/>
      <c r="B203" s="38"/>
    </row>
    <row r="204">
      <c r="A204" s="9"/>
      <c r="B204" s="38"/>
    </row>
    <row r="205">
      <c r="A205" s="9"/>
      <c r="B205" s="38"/>
    </row>
    <row r="206">
      <c r="A206" s="9"/>
      <c r="B206" s="38"/>
    </row>
    <row r="207">
      <c r="A207" s="9"/>
      <c r="B207" s="38"/>
    </row>
    <row r="208">
      <c r="A208" s="9"/>
      <c r="B208" s="38"/>
    </row>
    <row r="209">
      <c r="A209" s="9"/>
      <c r="B209" s="38"/>
    </row>
    <row r="210">
      <c r="A210" s="9"/>
      <c r="B210" s="38"/>
    </row>
    <row r="211">
      <c r="A211" s="9"/>
      <c r="B211" s="38"/>
    </row>
    <row r="212">
      <c r="A212" s="9"/>
      <c r="B212" s="38"/>
    </row>
    <row r="213">
      <c r="A213" s="9"/>
      <c r="B213" s="38"/>
    </row>
    <row r="214">
      <c r="A214" s="9"/>
      <c r="B214" s="38"/>
    </row>
    <row r="215">
      <c r="A215" s="9"/>
      <c r="B215" s="38"/>
    </row>
    <row r="216">
      <c r="A216" s="9"/>
      <c r="B216" s="38"/>
    </row>
    <row r="217">
      <c r="A217" s="9"/>
      <c r="B217" s="38"/>
    </row>
    <row r="218">
      <c r="A218" s="9"/>
      <c r="B218" s="38"/>
    </row>
    <row r="219">
      <c r="A219" s="9"/>
      <c r="B219" s="38"/>
    </row>
    <row r="220">
      <c r="A220" s="9"/>
      <c r="B220" s="38"/>
    </row>
    <row r="221">
      <c r="A221" s="9"/>
      <c r="B221" s="38"/>
    </row>
    <row r="222">
      <c r="A222" s="9"/>
      <c r="B222" s="38"/>
    </row>
    <row r="223">
      <c r="A223" s="9"/>
      <c r="B223" s="38"/>
    </row>
    <row r="224">
      <c r="A224" s="9"/>
      <c r="B224" s="38"/>
    </row>
    <row r="225">
      <c r="A225" s="9"/>
      <c r="B225" s="38"/>
    </row>
    <row r="226">
      <c r="A226" s="9"/>
      <c r="B226" s="38"/>
    </row>
    <row r="227">
      <c r="A227" s="9"/>
      <c r="B227" s="38"/>
    </row>
    <row r="228">
      <c r="A228" s="9"/>
      <c r="B228" s="38"/>
    </row>
    <row r="229">
      <c r="A229" s="9"/>
      <c r="B229" s="38"/>
    </row>
    <row r="230">
      <c r="A230" s="9"/>
      <c r="B230" s="38"/>
    </row>
    <row r="231">
      <c r="A231" s="9"/>
      <c r="B231" s="38"/>
    </row>
    <row r="232">
      <c r="A232" s="9"/>
      <c r="B232" s="38"/>
    </row>
    <row r="233">
      <c r="A233" s="9"/>
      <c r="B233" s="38"/>
    </row>
    <row r="234">
      <c r="A234" s="9"/>
      <c r="B234" s="38"/>
    </row>
    <row r="235">
      <c r="A235" s="9"/>
      <c r="B235" s="38"/>
    </row>
    <row r="236">
      <c r="A236" s="9"/>
      <c r="B236" s="38"/>
    </row>
    <row r="237">
      <c r="A237" s="9"/>
      <c r="B237" s="38"/>
    </row>
    <row r="238">
      <c r="A238" s="9"/>
      <c r="B238" s="38"/>
    </row>
    <row r="239">
      <c r="A239" s="9"/>
      <c r="B239" s="38"/>
    </row>
    <row r="240">
      <c r="A240" s="9"/>
      <c r="B240" s="38"/>
    </row>
    <row r="241">
      <c r="A241" s="9"/>
      <c r="B241" s="38"/>
    </row>
    <row r="242">
      <c r="A242" s="9"/>
      <c r="B242" s="38"/>
    </row>
    <row r="243">
      <c r="A243" s="9"/>
      <c r="B243" s="38"/>
    </row>
    <row r="244">
      <c r="A244" s="9"/>
      <c r="B244" s="38"/>
    </row>
    <row r="245">
      <c r="A245" s="9"/>
      <c r="B245" s="38"/>
    </row>
    <row r="246">
      <c r="A246" s="9"/>
      <c r="B246" s="38"/>
    </row>
    <row r="247">
      <c r="A247" s="9"/>
      <c r="B247" s="38"/>
    </row>
    <row r="248">
      <c r="A248" s="9"/>
      <c r="B248" s="38"/>
    </row>
    <row r="249">
      <c r="A249" s="9"/>
      <c r="B249" s="38"/>
    </row>
    <row r="250">
      <c r="A250" s="9"/>
      <c r="B250" s="38"/>
    </row>
    <row r="251">
      <c r="A251" s="9"/>
      <c r="B251" s="38"/>
    </row>
    <row r="252">
      <c r="A252" s="9"/>
      <c r="B252" s="38"/>
    </row>
    <row r="253">
      <c r="A253" s="9"/>
      <c r="B253" s="38"/>
    </row>
    <row r="254">
      <c r="A254" s="9"/>
      <c r="B254" s="38"/>
    </row>
    <row r="255">
      <c r="A255" s="9"/>
      <c r="B255" s="38"/>
    </row>
    <row r="256">
      <c r="A256" s="9"/>
      <c r="B256" s="38"/>
    </row>
    <row r="257">
      <c r="A257" s="9"/>
      <c r="B257" s="38"/>
    </row>
    <row r="258">
      <c r="A258" s="9"/>
      <c r="B258" s="38"/>
    </row>
    <row r="259">
      <c r="A259" s="9"/>
      <c r="B259" s="38"/>
    </row>
    <row r="260">
      <c r="A260" s="9"/>
      <c r="B260" s="38"/>
    </row>
    <row r="261">
      <c r="A261" s="9"/>
      <c r="B261" s="38"/>
    </row>
    <row r="262">
      <c r="A262" s="9"/>
      <c r="B262" s="38"/>
    </row>
    <row r="263">
      <c r="A263" s="9"/>
      <c r="B263" s="38"/>
    </row>
    <row r="264">
      <c r="A264" s="9"/>
      <c r="B264" s="38"/>
    </row>
    <row r="265">
      <c r="A265" s="9"/>
      <c r="B265" s="38"/>
    </row>
    <row r="266">
      <c r="A266" s="9"/>
      <c r="B266" s="38"/>
    </row>
    <row r="267">
      <c r="A267" s="9"/>
      <c r="B267" s="38"/>
    </row>
    <row r="268">
      <c r="A268" s="9"/>
      <c r="B268" s="38"/>
    </row>
    <row r="269">
      <c r="A269" s="9"/>
      <c r="B269" s="38"/>
    </row>
    <row r="270">
      <c r="A270" s="9"/>
      <c r="B270" s="38"/>
    </row>
    <row r="271">
      <c r="A271" s="9"/>
      <c r="B271" s="38"/>
    </row>
    <row r="272">
      <c r="A272" s="9"/>
      <c r="B272" s="38"/>
    </row>
    <row r="273">
      <c r="A273" s="9"/>
      <c r="B273" s="38"/>
    </row>
    <row r="274">
      <c r="A274" s="9"/>
      <c r="B274" s="38"/>
    </row>
    <row r="275">
      <c r="A275" s="9"/>
      <c r="B275" s="38"/>
    </row>
    <row r="276">
      <c r="A276" s="9"/>
      <c r="B276" s="38"/>
    </row>
    <row r="277">
      <c r="A277" s="9"/>
      <c r="B277" s="38"/>
    </row>
    <row r="278">
      <c r="A278" s="9"/>
      <c r="B278" s="38"/>
    </row>
    <row r="279">
      <c r="A279" s="9"/>
      <c r="B279" s="38"/>
    </row>
    <row r="280">
      <c r="A280" s="9"/>
      <c r="B280" s="38"/>
    </row>
    <row r="281">
      <c r="A281" s="9"/>
      <c r="B281" s="38"/>
    </row>
    <row r="282">
      <c r="A282" s="9"/>
      <c r="B282" s="38"/>
    </row>
    <row r="283">
      <c r="A283" s="9"/>
      <c r="B283" s="38"/>
    </row>
    <row r="284">
      <c r="A284" s="9"/>
      <c r="B284" s="38"/>
    </row>
    <row r="285">
      <c r="A285" s="9"/>
      <c r="B285" s="38"/>
    </row>
    <row r="286">
      <c r="A286" s="9"/>
      <c r="B286" s="38"/>
    </row>
    <row r="287">
      <c r="A287" s="9"/>
      <c r="B287" s="38"/>
    </row>
    <row r="288">
      <c r="A288" s="9"/>
      <c r="B288" s="38"/>
    </row>
    <row r="289">
      <c r="A289" s="9"/>
      <c r="B289" s="38"/>
    </row>
    <row r="290">
      <c r="A290" s="9"/>
      <c r="B290" s="38"/>
    </row>
    <row r="291">
      <c r="A291" s="9"/>
      <c r="B291" s="38"/>
    </row>
    <row r="292">
      <c r="A292" s="9"/>
      <c r="B292" s="38"/>
    </row>
    <row r="293">
      <c r="A293" s="9"/>
      <c r="B293" s="38"/>
    </row>
    <row r="294">
      <c r="A294" s="9"/>
      <c r="B294" s="38"/>
    </row>
    <row r="295">
      <c r="A295" s="9"/>
      <c r="B295" s="38"/>
    </row>
    <row r="296">
      <c r="A296" s="9"/>
      <c r="B296" s="38"/>
    </row>
    <row r="297">
      <c r="A297" s="9"/>
      <c r="B297" s="38"/>
    </row>
    <row r="298">
      <c r="A298" s="9"/>
      <c r="B298" s="38"/>
    </row>
    <row r="299">
      <c r="A299" s="9"/>
      <c r="B299" s="38"/>
    </row>
    <row r="300">
      <c r="A300" s="9"/>
      <c r="B300" s="38"/>
    </row>
    <row r="301">
      <c r="A301" s="9"/>
      <c r="B301" s="38"/>
    </row>
    <row r="302">
      <c r="A302" s="9"/>
      <c r="B302" s="38"/>
    </row>
    <row r="303">
      <c r="A303" s="9"/>
      <c r="B303" s="38"/>
    </row>
    <row r="304">
      <c r="A304" s="9"/>
      <c r="B304" s="38"/>
    </row>
    <row r="305">
      <c r="A305" s="9"/>
      <c r="B305" s="38"/>
    </row>
    <row r="306">
      <c r="A306" s="9"/>
      <c r="B306" s="38"/>
    </row>
    <row r="307">
      <c r="A307" s="9"/>
      <c r="B307" s="38"/>
    </row>
    <row r="308">
      <c r="A308" s="9"/>
      <c r="B308" s="38"/>
    </row>
    <row r="309">
      <c r="A309" s="9"/>
      <c r="B309" s="38"/>
    </row>
    <row r="310">
      <c r="A310" s="9"/>
      <c r="B310" s="38"/>
    </row>
    <row r="311">
      <c r="A311" s="9"/>
      <c r="B311" s="38"/>
    </row>
    <row r="312">
      <c r="A312" s="9"/>
      <c r="B312" s="38"/>
    </row>
    <row r="313">
      <c r="A313" s="9"/>
      <c r="B313" s="38"/>
    </row>
    <row r="314">
      <c r="A314" s="9"/>
      <c r="B314" s="38"/>
    </row>
    <row r="315">
      <c r="A315" s="9"/>
      <c r="B315" s="38"/>
    </row>
    <row r="316">
      <c r="A316" s="9"/>
      <c r="B316" s="38"/>
    </row>
    <row r="317">
      <c r="A317" s="9"/>
      <c r="B317" s="38"/>
    </row>
    <row r="318">
      <c r="A318" s="9"/>
      <c r="B318" s="38"/>
    </row>
    <row r="319">
      <c r="A319" s="9"/>
      <c r="B319" s="38"/>
    </row>
    <row r="320">
      <c r="A320" s="9"/>
      <c r="B320" s="38"/>
    </row>
    <row r="321">
      <c r="A321" s="9"/>
      <c r="B321" s="38"/>
    </row>
    <row r="322">
      <c r="A322" s="9"/>
      <c r="B322" s="38"/>
    </row>
    <row r="323">
      <c r="A323" s="9"/>
      <c r="B323" s="38"/>
    </row>
    <row r="324">
      <c r="A324" s="9"/>
      <c r="B324" s="38"/>
    </row>
    <row r="325">
      <c r="A325" s="9"/>
      <c r="B325" s="38"/>
    </row>
    <row r="326">
      <c r="A326" s="9"/>
      <c r="B326" s="38"/>
    </row>
    <row r="327">
      <c r="A327" s="9"/>
      <c r="B327" s="38"/>
    </row>
    <row r="328">
      <c r="A328" s="9"/>
      <c r="B328" s="38"/>
    </row>
    <row r="329">
      <c r="A329" s="9"/>
      <c r="B329" s="38"/>
    </row>
    <row r="330">
      <c r="A330" s="9"/>
      <c r="B330" s="38"/>
    </row>
    <row r="331">
      <c r="A331" s="9"/>
      <c r="B331" s="38"/>
    </row>
    <row r="332">
      <c r="A332" s="9"/>
      <c r="B332" s="38"/>
    </row>
    <row r="333">
      <c r="A333" s="9"/>
      <c r="B333" s="38"/>
    </row>
    <row r="334">
      <c r="A334" s="9"/>
      <c r="B334" s="38"/>
    </row>
    <row r="335">
      <c r="A335" s="9"/>
      <c r="B335" s="38"/>
    </row>
    <row r="336">
      <c r="A336" s="9"/>
      <c r="B336" s="38"/>
    </row>
    <row r="337">
      <c r="A337" s="9"/>
      <c r="B337" s="38"/>
    </row>
    <row r="338">
      <c r="A338" s="9"/>
      <c r="B338" s="38"/>
    </row>
    <row r="339">
      <c r="A339" s="9"/>
      <c r="B339" s="38"/>
    </row>
    <row r="340">
      <c r="A340" s="9"/>
      <c r="B340" s="38"/>
    </row>
    <row r="341">
      <c r="A341" s="9"/>
      <c r="B341" s="38"/>
    </row>
    <row r="342">
      <c r="A342" s="9"/>
      <c r="B342" s="38"/>
    </row>
    <row r="343">
      <c r="A343" s="9"/>
      <c r="B343" s="38"/>
    </row>
    <row r="344">
      <c r="A344" s="9"/>
      <c r="B344" s="38"/>
    </row>
    <row r="345">
      <c r="A345" s="9"/>
      <c r="B345" s="38"/>
    </row>
    <row r="346">
      <c r="A346" s="9"/>
      <c r="B346" s="38"/>
    </row>
    <row r="347">
      <c r="A347" s="9"/>
      <c r="B347" s="38"/>
    </row>
    <row r="348">
      <c r="A348" s="9"/>
      <c r="B348" s="38"/>
    </row>
    <row r="349">
      <c r="A349" s="9"/>
      <c r="B349" s="38"/>
    </row>
    <row r="350">
      <c r="A350" s="9"/>
      <c r="B350" s="38"/>
    </row>
    <row r="351">
      <c r="A351" s="9"/>
      <c r="B351" s="38"/>
    </row>
    <row r="352">
      <c r="A352" s="9"/>
      <c r="B352" s="38"/>
    </row>
    <row r="353">
      <c r="A353" s="9"/>
      <c r="B353" s="38"/>
    </row>
    <row r="354">
      <c r="A354" s="9"/>
      <c r="B354" s="38"/>
    </row>
    <row r="355">
      <c r="A355" s="9"/>
      <c r="B355" s="38"/>
    </row>
    <row r="356">
      <c r="A356" s="9"/>
      <c r="B356" s="38"/>
    </row>
    <row r="357">
      <c r="A357" s="9"/>
      <c r="B357" s="38"/>
    </row>
    <row r="358">
      <c r="A358" s="9"/>
      <c r="B358" s="38"/>
    </row>
    <row r="359">
      <c r="A359" s="9"/>
      <c r="B359" s="38"/>
    </row>
    <row r="360">
      <c r="A360" s="9"/>
      <c r="B360" s="38"/>
    </row>
    <row r="361">
      <c r="A361" s="9"/>
      <c r="B361" s="38"/>
    </row>
    <row r="362">
      <c r="A362" s="9"/>
      <c r="B362" s="38"/>
    </row>
    <row r="363">
      <c r="A363" s="9"/>
      <c r="B363" s="38"/>
    </row>
    <row r="364">
      <c r="A364" s="9"/>
      <c r="B364" s="38"/>
    </row>
    <row r="365">
      <c r="A365" s="9"/>
      <c r="B365" s="38"/>
    </row>
    <row r="366">
      <c r="A366" s="9"/>
      <c r="B366" s="38"/>
    </row>
    <row r="367">
      <c r="A367" s="9"/>
      <c r="B367" s="38"/>
    </row>
    <row r="368">
      <c r="A368" s="9"/>
      <c r="B368" s="38"/>
    </row>
    <row r="369">
      <c r="A369" s="9"/>
      <c r="B369" s="38"/>
    </row>
    <row r="370">
      <c r="A370" s="9"/>
      <c r="B370" s="38"/>
    </row>
    <row r="371">
      <c r="A371" s="9"/>
      <c r="B371" s="38"/>
    </row>
    <row r="372">
      <c r="A372" s="9"/>
      <c r="B372" s="38"/>
    </row>
    <row r="373">
      <c r="A373" s="9"/>
      <c r="B373" s="38"/>
    </row>
    <row r="374">
      <c r="A374" s="9"/>
      <c r="B374" s="38"/>
    </row>
    <row r="375">
      <c r="A375" s="9"/>
      <c r="B375" s="38"/>
    </row>
    <row r="376">
      <c r="A376" s="9"/>
      <c r="B376" s="38"/>
    </row>
    <row r="377">
      <c r="A377" s="9"/>
      <c r="B377" s="38"/>
    </row>
    <row r="378">
      <c r="A378" s="9"/>
      <c r="B378" s="38"/>
    </row>
    <row r="379">
      <c r="A379" s="9"/>
      <c r="B379" s="38"/>
    </row>
    <row r="380">
      <c r="A380" s="9"/>
      <c r="B380" s="38"/>
    </row>
    <row r="381">
      <c r="A381" s="9"/>
      <c r="B381" s="38"/>
    </row>
    <row r="382">
      <c r="A382" s="9"/>
      <c r="B382" s="38"/>
    </row>
    <row r="383">
      <c r="A383" s="9"/>
      <c r="B383" s="38"/>
    </row>
    <row r="384">
      <c r="A384" s="9"/>
      <c r="B384" s="38"/>
    </row>
    <row r="385">
      <c r="A385" s="9"/>
      <c r="B385" s="38"/>
    </row>
    <row r="386">
      <c r="A386" s="9"/>
      <c r="B386" s="38"/>
    </row>
    <row r="387">
      <c r="A387" s="9"/>
      <c r="B387" s="38"/>
    </row>
    <row r="388">
      <c r="A388" s="9"/>
      <c r="B388" s="38"/>
    </row>
    <row r="389">
      <c r="A389" s="9"/>
      <c r="B389" s="38"/>
    </row>
    <row r="390">
      <c r="A390" s="9"/>
      <c r="B390" s="38"/>
    </row>
    <row r="391">
      <c r="A391" s="9"/>
      <c r="B391" s="38"/>
    </row>
    <row r="392">
      <c r="A392" s="9"/>
      <c r="B392" s="38"/>
    </row>
    <row r="393">
      <c r="A393" s="9"/>
      <c r="B393" s="38"/>
    </row>
    <row r="394">
      <c r="A394" s="9"/>
      <c r="B394" s="38"/>
    </row>
    <row r="395">
      <c r="A395" s="9"/>
      <c r="B395" s="38"/>
    </row>
    <row r="396">
      <c r="A396" s="9"/>
      <c r="B396" s="38"/>
    </row>
    <row r="397">
      <c r="A397" s="9"/>
      <c r="B397" s="38"/>
    </row>
    <row r="398">
      <c r="A398" s="9"/>
      <c r="B398" s="38"/>
    </row>
    <row r="399">
      <c r="A399" s="9"/>
      <c r="B399" s="38"/>
    </row>
    <row r="400">
      <c r="A400" s="9"/>
      <c r="B400" s="38"/>
    </row>
    <row r="401">
      <c r="A401" s="9"/>
      <c r="B401" s="38"/>
    </row>
    <row r="402">
      <c r="A402" s="9"/>
      <c r="B402" s="38"/>
    </row>
    <row r="403">
      <c r="A403" s="9"/>
      <c r="B403" s="38"/>
    </row>
    <row r="404">
      <c r="A404" s="9"/>
      <c r="B404" s="38"/>
    </row>
    <row r="405">
      <c r="A405" s="9"/>
      <c r="B405" s="38"/>
    </row>
    <row r="406">
      <c r="A406" s="9"/>
      <c r="B406" s="38"/>
    </row>
    <row r="407">
      <c r="A407" s="9"/>
      <c r="B407" s="38"/>
    </row>
    <row r="408">
      <c r="A408" s="9"/>
      <c r="B408" s="38"/>
    </row>
    <row r="409">
      <c r="A409" s="9"/>
      <c r="B409" s="38"/>
    </row>
    <row r="410">
      <c r="A410" s="9"/>
      <c r="B410" s="38"/>
    </row>
    <row r="411">
      <c r="A411" s="9"/>
      <c r="B411" s="38"/>
    </row>
    <row r="412">
      <c r="A412" s="9"/>
      <c r="B412" s="38"/>
    </row>
    <row r="413">
      <c r="A413" s="9"/>
      <c r="B413" s="38"/>
    </row>
    <row r="414">
      <c r="A414" s="9"/>
      <c r="B414" s="38"/>
    </row>
    <row r="415">
      <c r="A415" s="9"/>
      <c r="B415" s="38"/>
    </row>
    <row r="416">
      <c r="A416" s="9"/>
      <c r="B416" s="38"/>
    </row>
    <row r="417">
      <c r="A417" s="9"/>
      <c r="B417" s="38"/>
    </row>
    <row r="418">
      <c r="A418" s="9"/>
      <c r="B418" s="38"/>
    </row>
    <row r="419">
      <c r="A419" s="9"/>
      <c r="B419" s="38"/>
    </row>
    <row r="420">
      <c r="A420" s="9"/>
      <c r="B420" s="38"/>
    </row>
    <row r="421">
      <c r="A421" s="9"/>
      <c r="B421" s="38"/>
    </row>
    <row r="422">
      <c r="A422" s="9"/>
      <c r="B422" s="38"/>
    </row>
    <row r="423">
      <c r="A423" s="9"/>
      <c r="B423" s="38"/>
    </row>
    <row r="424">
      <c r="A424" s="9"/>
      <c r="B424" s="38"/>
    </row>
    <row r="425">
      <c r="A425" s="9"/>
      <c r="B425" s="38"/>
    </row>
    <row r="426">
      <c r="A426" s="9"/>
      <c r="B426" s="38"/>
    </row>
    <row r="427">
      <c r="A427" s="9"/>
      <c r="B427" s="38"/>
    </row>
    <row r="428">
      <c r="A428" s="9"/>
      <c r="B428" s="38"/>
    </row>
    <row r="429">
      <c r="A429" s="9"/>
      <c r="B429" s="38"/>
    </row>
    <row r="430">
      <c r="A430" s="9"/>
      <c r="B430" s="38"/>
    </row>
    <row r="431">
      <c r="A431" s="9"/>
      <c r="B431" s="38"/>
    </row>
    <row r="432">
      <c r="A432" s="9"/>
      <c r="B432" s="38"/>
    </row>
    <row r="433">
      <c r="A433" s="9"/>
      <c r="B433" s="38"/>
    </row>
    <row r="434">
      <c r="A434" s="9"/>
      <c r="B434" s="38"/>
    </row>
    <row r="435">
      <c r="A435" s="9"/>
      <c r="B435" s="38"/>
    </row>
    <row r="436">
      <c r="A436" s="9"/>
      <c r="B436" s="38"/>
    </row>
    <row r="437">
      <c r="A437" s="9"/>
      <c r="B437" s="38"/>
    </row>
    <row r="438">
      <c r="A438" s="9"/>
      <c r="B438" s="38"/>
    </row>
    <row r="439">
      <c r="A439" s="9"/>
      <c r="B439" s="38"/>
    </row>
    <row r="440">
      <c r="A440" s="9"/>
      <c r="B440" s="38"/>
    </row>
    <row r="441">
      <c r="A441" s="9"/>
      <c r="B441" s="38"/>
    </row>
    <row r="442">
      <c r="A442" s="9"/>
      <c r="B442" s="38"/>
    </row>
    <row r="443">
      <c r="A443" s="9"/>
      <c r="B443" s="38"/>
    </row>
    <row r="444">
      <c r="A444" s="9"/>
      <c r="B444" s="38"/>
    </row>
    <row r="445">
      <c r="A445" s="9"/>
      <c r="B445" s="38"/>
    </row>
    <row r="446">
      <c r="A446" s="9"/>
      <c r="B446" s="38"/>
    </row>
    <row r="447">
      <c r="A447" s="9"/>
      <c r="B447" s="38"/>
    </row>
    <row r="448">
      <c r="A448" s="9"/>
      <c r="B448" s="38"/>
    </row>
    <row r="449">
      <c r="A449" s="9"/>
      <c r="B449" s="38"/>
    </row>
    <row r="450">
      <c r="A450" s="9"/>
      <c r="B450" s="38"/>
    </row>
    <row r="451">
      <c r="A451" s="9"/>
      <c r="B451" s="38"/>
    </row>
    <row r="452">
      <c r="A452" s="9"/>
      <c r="B452" s="38"/>
    </row>
    <row r="453">
      <c r="A453" s="9"/>
      <c r="B453" s="38"/>
    </row>
    <row r="454">
      <c r="A454" s="9"/>
      <c r="B454" s="38"/>
    </row>
    <row r="455">
      <c r="A455" s="9"/>
      <c r="B455" s="38"/>
    </row>
    <row r="456">
      <c r="A456" s="9"/>
      <c r="B456" s="38"/>
    </row>
    <row r="457">
      <c r="A457" s="9"/>
      <c r="B457" s="38"/>
    </row>
    <row r="458">
      <c r="A458" s="9"/>
      <c r="B458" s="38"/>
    </row>
    <row r="459">
      <c r="A459" s="9"/>
      <c r="B459" s="38"/>
    </row>
    <row r="460">
      <c r="A460" s="9"/>
      <c r="B460" s="38"/>
    </row>
    <row r="461">
      <c r="A461" s="9"/>
      <c r="B461" s="38"/>
    </row>
    <row r="462">
      <c r="A462" s="9"/>
      <c r="B462" s="38"/>
    </row>
    <row r="463">
      <c r="A463" s="9"/>
      <c r="B463" s="38"/>
    </row>
    <row r="464">
      <c r="A464" s="9"/>
      <c r="B464" s="38"/>
    </row>
    <row r="465">
      <c r="A465" s="9"/>
      <c r="B465" s="38"/>
    </row>
    <row r="466">
      <c r="A466" s="9"/>
      <c r="B466" s="38"/>
    </row>
    <row r="467">
      <c r="A467" s="9"/>
      <c r="B467" s="38"/>
    </row>
    <row r="468">
      <c r="A468" s="9"/>
      <c r="B468" s="38"/>
    </row>
    <row r="469">
      <c r="A469" s="9"/>
      <c r="B469" s="38"/>
    </row>
    <row r="470">
      <c r="A470" s="9"/>
      <c r="B470" s="38"/>
    </row>
    <row r="471">
      <c r="A471" s="9"/>
      <c r="B471" s="38"/>
    </row>
    <row r="472">
      <c r="A472" s="9"/>
      <c r="B472" s="38"/>
    </row>
    <row r="473">
      <c r="A473" s="9"/>
      <c r="B473" s="38"/>
    </row>
    <row r="474">
      <c r="A474" s="9"/>
      <c r="B474" s="38"/>
    </row>
    <row r="475">
      <c r="A475" s="9"/>
      <c r="B475" s="38"/>
    </row>
    <row r="476">
      <c r="A476" s="9"/>
      <c r="B476" s="38"/>
    </row>
    <row r="477">
      <c r="A477" s="9"/>
      <c r="B477" s="38"/>
    </row>
    <row r="478">
      <c r="A478" s="9"/>
      <c r="B478" s="38"/>
    </row>
    <row r="479">
      <c r="A479" s="9"/>
      <c r="B479" s="38"/>
    </row>
    <row r="480">
      <c r="A480" s="9"/>
      <c r="B480" s="38"/>
    </row>
    <row r="481">
      <c r="A481" s="9"/>
      <c r="B481" s="38"/>
    </row>
    <row r="482">
      <c r="A482" s="9"/>
      <c r="B482" s="38"/>
    </row>
    <row r="483">
      <c r="A483" s="9"/>
      <c r="B483" s="38"/>
    </row>
    <row r="484">
      <c r="A484" s="9"/>
      <c r="B484" s="38"/>
    </row>
    <row r="485">
      <c r="A485" s="9"/>
      <c r="B485" s="38"/>
    </row>
    <row r="486">
      <c r="A486" s="9"/>
      <c r="B486" s="38"/>
    </row>
    <row r="487">
      <c r="A487" s="9"/>
      <c r="B487" s="38"/>
    </row>
    <row r="488">
      <c r="A488" s="9"/>
      <c r="B488" s="38"/>
    </row>
    <row r="489">
      <c r="A489" s="9"/>
      <c r="B489" s="38"/>
    </row>
    <row r="490">
      <c r="A490" s="9"/>
      <c r="B490" s="38"/>
    </row>
    <row r="491">
      <c r="A491" s="9"/>
      <c r="B491" s="38"/>
    </row>
    <row r="492">
      <c r="A492" s="9"/>
      <c r="B492" s="38"/>
    </row>
    <row r="493">
      <c r="A493" s="9"/>
      <c r="B493" s="38"/>
    </row>
    <row r="494">
      <c r="A494" s="9"/>
      <c r="B494" s="38"/>
    </row>
    <row r="495">
      <c r="A495" s="9"/>
      <c r="B495" s="38"/>
    </row>
    <row r="496">
      <c r="A496" s="9"/>
      <c r="B496" s="38"/>
    </row>
    <row r="497">
      <c r="A497" s="9"/>
      <c r="B497" s="38"/>
    </row>
    <row r="498">
      <c r="A498" s="9"/>
      <c r="B498" s="38"/>
    </row>
    <row r="499">
      <c r="A499" s="9"/>
      <c r="B499" s="38"/>
    </row>
    <row r="500">
      <c r="A500" s="9"/>
      <c r="B500" s="38"/>
    </row>
    <row r="501">
      <c r="A501" s="9"/>
      <c r="B501" s="38"/>
    </row>
    <row r="502">
      <c r="A502" s="9"/>
      <c r="B502" s="38"/>
    </row>
    <row r="503">
      <c r="A503" s="9"/>
      <c r="B503" s="38"/>
    </row>
    <row r="504">
      <c r="A504" s="9"/>
      <c r="B504" s="38"/>
    </row>
    <row r="505">
      <c r="A505" s="9"/>
      <c r="B505" s="38"/>
    </row>
    <row r="506">
      <c r="A506" s="9"/>
      <c r="B506" s="38"/>
    </row>
    <row r="507">
      <c r="A507" s="9"/>
      <c r="B507" s="38"/>
    </row>
    <row r="508">
      <c r="A508" s="9"/>
      <c r="B508" s="38"/>
    </row>
    <row r="509">
      <c r="A509" s="9"/>
      <c r="B509" s="38"/>
    </row>
    <row r="510">
      <c r="A510" s="9"/>
      <c r="B510" s="38"/>
    </row>
    <row r="511">
      <c r="A511" s="9"/>
      <c r="B511" s="38"/>
    </row>
    <row r="512">
      <c r="A512" s="9"/>
      <c r="B512" s="38"/>
    </row>
    <row r="513">
      <c r="A513" s="9"/>
      <c r="B513" s="38"/>
    </row>
    <row r="514">
      <c r="A514" s="9"/>
      <c r="B514" s="38"/>
    </row>
    <row r="515">
      <c r="A515" s="9"/>
      <c r="B515" s="38"/>
    </row>
    <row r="516">
      <c r="A516" s="9"/>
      <c r="B516" s="38"/>
    </row>
    <row r="517">
      <c r="A517" s="9"/>
      <c r="B517" s="38"/>
    </row>
    <row r="518">
      <c r="A518" s="9"/>
      <c r="B518" s="38"/>
    </row>
    <row r="519">
      <c r="A519" s="9"/>
      <c r="B519" s="38"/>
    </row>
    <row r="520">
      <c r="A520" s="9"/>
      <c r="B520" s="38"/>
    </row>
    <row r="521">
      <c r="A521" s="9"/>
      <c r="B521" s="38"/>
    </row>
    <row r="522">
      <c r="A522" s="9"/>
      <c r="B522" s="38"/>
    </row>
    <row r="523">
      <c r="A523" s="9"/>
      <c r="B523" s="38"/>
    </row>
    <row r="524">
      <c r="A524" s="9"/>
      <c r="B524" s="38"/>
    </row>
    <row r="525">
      <c r="A525" s="9"/>
      <c r="B525" s="38"/>
    </row>
    <row r="526">
      <c r="A526" s="9"/>
      <c r="B526" s="38"/>
    </row>
    <row r="527">
      <c r="A527" s="9"/>
      <c r="B527" s="38"/>
    </row>
    <row r="528">
      <c r="A528" s="9"/>
      <c r="B528" s="38"/>
    </row>
    <row r="529">
      <c r="A529" s="9"/>
      <c r="B529" s="38"/>
    </row>
    <row r="530">
      <c r="A530" s="9"/>
      <c r="B530" s="38"/>
    </row>
    <row r="531">
      <c r="A531" s="9"/>
      <c r="B531" s="38"/>
    </row>
    <row r="532">
      <c r="A532" s="9"/>
      <c r="B532" s="38"/>
    </row>
    <row r="533">
      <c r="A533" s="9"/>
      <c r="B533" s="38"/>
    </row>
    <row r="534">
      <c r="A534" s="9"/>
      <c r="B534" s="38"/>
    </row>
    <row r="535">
      <c r="A535" s="9"/>
      <c r="B535" s="38"/>
    </row>
    <row r="536">
      <c r="A536" s="9"/>
      <c r="B536" s="38"/>
    </row>
    <row r="537">
      <c r="A537" s="9"/>
      <c r="B537" s="38"/>
    </row>
    <row r="538">
      <c r="A538" s="9"/>
      <c r="B538" s="38"/>
    </row>
    <row r="539">
      <c r="A539" s="9"/>
      <c r="B539" s="38"/>
    </row>
    <row r="540">
      <c r="A540" s="9"/>
      <c r="B540" s="38"/>
    </row>
    <row r="541">
      <c r="A541" s="9"/>
      <c r="B541" s="38"/>
    </row>
    <row r="542">
      <c r="A542" s="9"/>
      <c r="B542" s="38"/>
    </row>
    <row r="543">
      <c r="A543" s="9"/>
      <c r="B543" s="38"/>
    </row>
    <row r="544">
      <c r="A544" s="9"/>
      <c r="B544" s="38"/>
    </row>
    <row r="545">
      <c r="A545" s="9"/>
      <c r="B545" s="38"/>
    </row>
    <row r="546">
      <c r="A546" s="9"/>
      <c r="B546" s="38"/>
    </row>
    <row r="547">
      <c r="A547" s="9"/>
      <c r="B547" s="38"/>
    </row>
    <row r="548">
      <c r="A548" s="9"/>
      <c r="B548" s="38"/>
    </row>
    <row r="549">
      <c r="A549" s="9"/>
      <c r="B549" s="38"/>
    </row>
    <row r="550">
      <c r="A550" s="9"/>
      <c r="B550" s="38"/>
    </row>
    <row r="551">
      <c r="A551" s="9"/>
      <c r="B551" s="38"/>
    </row>
    <row r="552">
      <c r="A552" s="9"/>
      <c r="B552" s="38"/>
    </row>
    <row r="553">
      <c r="A553" s="9"/>
      <c r="B553" s="38"/>
    </row>
    <row r="554">
      <c r="A554" s="9"/>
      <c r="B554" s="38"/>
    </row>
    <row r="555">
      <c r="A555" s="9"/>
      <c r="B555" s="38"/>
    </row>
    <row r="556">
      <c r="A556" s="9"/>
      <c r="B556" s="38"/>
    </row>
    <row r="557">
      <c r="A557" s="9"/>
      <c r="B557" s="38"/>
    </row>
    <row r="558">
      <c r="A558" s="9"/>
      <c r="B558" s="38"/>
    </row>
    <row r="559">
      <c r="A559" s="9"/>
      <c r="B559" s="38"/>
    </row>
    <row r="560">
      <c r="A560" s="9"/>
      <c r="B560" s="38"/>
    </row>
    <row r="561">
      <c r="A561" s="9"/>
      <c r="B561" s="38"/>
    </row>
    <row r="562">
      <c r="A562" s="9"/>
      <c r="B562" s="38"/>
    </row>
    <row r="563">
      <c r="A563" s="9"/>
      <c r="B563" s="38"/>
    </row>
    <row r="564">
      <c r="A564" s="9"/>
      <c r="B564" s="38"/>
    </row>
    <row r="565">
      <c r="A565" s="9"/>
      <c r="B565" s="38"/>
    </row>
    <row r="566">
      <c r="A566" s="9"/>
      <c r="B566" s="38"/>
    </row>
    <row r="567">
      <c r="A567" s="9"/>
      <c r="B567" s="38"/>
    </row>
    <row r="568">
      <c r="A568" s="9"/>
      <c r="B568" s="38"/>
    </row>
    <row r="569">
      <c r="A569" s="9"/>
      <c r="B569" s="38"/>
    </row>
    <row r="570">
      <c r="A570" s="9"/>
      <c r="B570" s="38"/>
    </row>
    <row r="571">
      <c r="A571" s="9"/>
      <c r="B571" s="38"/>
    </row>
    <row r="572">
      <c r="A572" s="9"/>
      <c r="B572" s="38"/>
    </row>
    <row r="573">
      <c r="A573" s="9"/>
      <c r="B573" s="38"/>
    </row>
    <row r="574">
      <c r="A574" s="9"/>
      <c r="B574" s="38"/>
    </row>
    <row r="575">
      <c r="A575" s="9"/>
      <c r="B575" s="38"/>
    </row>
    <row r="576">
      <c r="A576" s="9"/>
      <c r="B576" s="38"/>
    </row>
    <row r="577">
      <c r="A577" s="9"/>
      <c r="B577" s="38"/>
    </row>
    <row r="578">
      <c r="A578" s="9"/>
      <c r="B578" s="38"/>
    </row>
    <row r="579">
      <c r="A579" s="9"/>
      <c r="B579" s="38"/>
    </row>
    <row r="580">
      <c r="A580" s="9"/>
      <c r="B580" s="38"/>
    </row>
    <row r="581">
      <c r="A581" s="9"/>
      <c r="B581" s="38"/>
    </row>
    <row r="582">
      <c r="A582" s="9"/>
      <c r="B582" s="38"/>
    </row>
    <row r="583">
      <c r="A583" s="9"/>
      <c r="B583" s="38"/>
    </row>
    <row r="584">
      <c r="A584" s="9"/>
      <c r="B584" s="38"/>
    </row>
    <row r="585">
      <c r="A585" s="9"/>
      <c r="B585" s="38"/>
    </row>
    <row r="586">
      <c r="A586" s="9"/>
      <c r="B586" s="38"/>
    </row>
    <row r="587">
      <c r="A587" s="9"/>
      <c r="B587" s="38"/>
    </row>
    <row r="588">
      <c r="A588" s="9"/>
      <c r="B588" s="38"/>
    </row>
    <row r="589">
      <c r="A589" s="9"/>
      <c r="B589" s="38"/>
    </row>
    <row r="590">
      <c r="A590" s="9"/>
      <c r="B590" s="38"/>
    </row>
    <row r="591">
      <c r="A591" s="9"/>
      <c r="B591" s="38"/>
    </row>
    <row r="592">
      <c r="A592" s="9"/>
      <c r="B592" s="38"/>
    </row>
    <row r="593">
      <c r="A593" s="9"/>
      <c r="B593" s="38"/>
    </row>
    <row r="594">
      <c r="A594" s="9"/>
      <c r="B594" s="38"/>
    </row>
    <row r="595">
      <c r="A595" s="9"/>
      <c r="B595" s="38"/>
    </row>
    <row r="596">
      <c r="A596" s="9"/>
      <c r="B596" s="38"/>
    </row>
    <row r="597">
      <c r="A597" s="9"/>
      <c r="B597" s="38"/>
    </row>
    <row r="598">
      <c r="A598" s="9"/>
      <c r="B598" s="38"/>
    </row>
    <row r="599">
      <c r="A599" s="9"/>
      <c r="B599" s="38"/>
    </row>
    <row r="600">
      <c r="A600" s="9"/>
      <c r="B600" s="38"/>
    </row>
    <row r="601">
      <c r="A601" s="9"/>
      <c r="B601" s="38"/>
    </row>
    <row r="602">
      <c r="A602" s="9"/>
      <c r="B602" s="38"/>
    </row>
    <row r="603">
      <c r="A603" s="9"/>
      <c r="B603" s="38"/>
    </row>
    <row r="604">
      <c r="A604" s="9"/>
      <c r="B604" s="38"/>
    </row>
    <row r="605">
      <c r="A605" s="9"/>
      <c r="B605" s="38"/>
    </row>
    <row r="606">
      <c r="A606" s="9"/>
      <c r="B606" s="38"/>
    </row>
    <row r="607">
      <c r="A607" s="9"/>
      <c r="B607" s="38"/>
    </row>
    <row r="608">
      <c r="A608" s="9"/>
      <c r="B608" s="38"/>
    </row>
    <row r="609">
      <c r="A609" s="9"/>
      <c r="B609" s="38"/>
    </row>
    <row r="610">
      <c r="A610" s="9"/>
      <c r="B610" s="38"/>
    </row>
    <row r="611">
      <c r="A611" s="9"/>
      <c r="B611" s="38"/>
    </row>
    <row r="612">
      <c r="A612" s="9"/>
      <c r="B612" s="38"/>
    </row>
    <row r="613">
      <c r="A613" s="9"/>
      <c r="B613" s="38"/>
    </row>
    <row r="614">
      <c r="A614" s="9"/>
      <c r="B614" s="38"/>
    </row>
    <row r="615">
      <c r="A615" s="9"/>
      <c r="B615" s="38"/>
    </row>
    <row r="616">
      <c r="A616" s="9"/>
      <c r="B616" s="38"/>
    </row>
    <row r="617">
      <c r="A617" s="9"/>
      <c r="B617" s="38"/>
    </row>
    <row r="618">
      <c r="A618" s="9"/>
      <c r="B618" s="38"/>
    </row>
    <row r="619">
      <c r="A619" s="9"/>
      <c r="B619" s="38"/>
    </row>
    <row r="620">
      <c r="A620" s="9"/>
      <c r="B620" s="38"/>
    </row>
    <row r="621">
      <c r="A621" s="9"/>
      <c r="B621" s="38"/>
    </row>
    <row r="622">
      <c r="A622" s="9"/>
      <c r="B622" s="38"/>
    </row>
    <row r="623">
      <c r="A623" s="9"/>
      <c r="B623" s="38"/>
    </row>
    <row r="624">
      <c r="A624" s="9"/>
      <c r="B624" s="38"/>
    </row>
    <row r="625">
      <c r="A625" s="9"/>
      <c r="B625" s="38"/>
    </row>
    <row r="626">
      <c r="A626" s="9"/>
      <c r="B626" s="38"/>
    </row>
    <row r="627">
      <c r="A627" s="9"/>
      <c r="B627" s="38"/>
    </row>
    <row r="628">
      <c r="A628" s="9"/>
      <c r="B628" s="38"/>
    </row>
    <row r="629">
      <c r="A629" s="9"/>
      <c r="B629" s="38"/>
    </row>
    <row r="630">
      <c r="A630" s="9"/>
      <c r="B630" s="38"/>
    </row>
    <row r="631">
      <c r="A631" s="9"/>
      <c r="B631" s="38"/>
    </row>
    <row r="632">
      <c r="A632" s="9"/>
      <c r="B632" s="38"/>
    </row>
    <row r="633">
      <c r="A633" s="9"/>
      <c r="B633" s="38"/>
    </row>
    <row r="634">
      <c r="A634" s="9"/>
      <c r="B634" s="38"/>
    </row>
    <row r="635">
      <c r="A635" s="9"/>
      <c r="B635" s="38"/>
    </row>
    <row r="636">
      <c r="A636" s="9"/>
      <c r="B636" s="38"/>
    </row>
    <row r="637">
      <c r="A637" s="9"/>
      <c r="B637" s="38"/>
    </row>
    <row r="638">
      <c r="A638" s="9"/>
      <c r="B638" s="38"/>
    </row>
    <row r="639">
      <c r="A639" s="9"/>
      <c r="B639" s="38"/>
    </row>
    <row r="640">
      <c r="A640" s="9"/>
      <c r="B640" s="38"/>
    </row>
    <row r="641">
      <c r="A641" s="9"/>
      <c r="B641" s="38"/>
    </row>
    <row r="642">
      <c r="A642" s="9"/>
      <c r="B642" s="38"/>
    </row>
    <row r="643">
      <c r="A643" s="9"/>
      <c r="B643" s="38"/>
    </row>
    <row r="644">
      <c r="A644" s="9"/>
      <c r="B644" s="38"/>
    </row>
    <row r="645">
      <c r="A645" s="9"/>
      <c r="B645" s="38"/>
    </row>
    <row r="646">
      <c r="A646" s="9"/>
      <c r="B646" s="38"/>
    </row>
    <row r="647">
      <c r="A647" s="9"/>
      <c r="B647" s="38"/>
    </row>
    <row r="648">
      <c r="A648" s="9"/>
      <c r="B648" s="38"/>
    </row>
    <row r="649">
      <c r="A649" s="9"/>
      <c r="B649" s="38"/>
    </row>
    <row r="650">
      <c r="A650" s="9"/>
      <c r="B650" s="38"/>
    </row>
    <row r="651">
      <c r="A651" s="9"/>
      <c r="B651" s="38"/>
    </row>
    <row r="652">
      <c r="A652" s="9"/>
      <c r="B652" s="38"/>
    </row>
    <row r="653">
      <c r="A653" s="9"/>
      <c r="B653" s="38"/>
    </row>
    <row r="654">
      <c r="A654" s="9"/>
      <c r="B654" s="38"/>
    </row>
    <row r="655">
      <c r="A655" s="9"/>
      <c r="B655" s="38"/>
    </row>
    <row r="656">
      <c r="A656" s="9"/>
      <c r="B656" s="38"/>
    </row>
    <row r="657">
      <c r="A657" s="9"/>
      <c r="B657" s="38"/>
    </row>
    <row r="658">
      <c r="A658" s="9"/>
      <c r="B658" s="38"/>
    </row>
    <row r="659">
      <c r="A659" s="9"/>
      <c r="B659" s="38"/>
    </row>
    <row r="660">
      <c r="A660" s="9"/>
      <c r="B660" s="38"/>
    </row>
    <row r="661">
      <c r="A661" s="9"/>
      <c r="B661" s="38"/>
    </row>
    <row r="662">
      <c r="A662" s="9"/>
      <c r="B662" s="38"/>
    </row>
    <row r="663">
      <c r="A663" s="9"/>
      <c r="B663" s="38"/>
    </row>
    <row r="664">
      <c r="A664" s="9"/>
      <c r="B664" s="38"/>
    </row>
    <row r="665">
      <c r="A665" s="9"/>
      <c r="B665" s="38"/>
    </row>
    <row r="666">
      <c r="A666" s="9"/>
      <c r="B666" s="38"/>
    </row>
    <row r="667">
      <c r="A667" s="9"/>
      <c r="B667" s="38"/>
    </row>
    <row r="668">
      <c r="A668" s="9"/>
      <c r="B668" s="38"/>
    </row>
    <row r="669">
      <c r="A669" s="9"/>
      <c r="B669" s="38"/>
    </row>
    <row r="670">
      <c r="A670" s="9"/>
      <c r="B670" s="38"/>
    </row>
    <row r="671">
      <c r="A671" s="9"/>
      <c r="B671" s="38"/>
    </row>
    <row r="672">
      <c r="A672" s="9"/>
      <c r="B672" s="38"/>
    </row>
    <row r="673">
      <c r="A673" s="9"/>
      <c r="B673" s="38"/>
    </row>
    <row r="674">
      <c r="A674" s="9"/>
      <c r="B674" s="38"/>
    </row>
    <row r="675">
      <c r="A675" s="9"/>
      <c r="B675" s="38"/>
    </row>
    <row r="676">
      <c r="A676" s="9"/>
      <c r="B676" s="38"/>
    </row>
    <row r="677">
      <c r="A677" s="9"/>
      <c r="B677" s="38"/>
    </row>
    <row r="678">
      <c r="A678" s="9"/>
      <c r="B678" s="38"/>
    </row>
    <row r="679">
      <c r="A679" s="9"/>
      <c r="B679" s="38"/>
    </row>
    <row r="680">
      <c r="A680" s="9"/>
      <c r="B680" s="38"/>
    </row>
    <row r="681">
      <c r="A681" s="9"/>
      <c r="B681" s="38"/>
    </row>
    <row r="682">
      <c r="A682" s="9"/>
      <c r="B682" s="38"/>
    </row>
    <row r="683">
      <c r="A683" s="9"/>
      <c r="B683" s="38"/>
    </row>
    <row r="684">
      <c r="A684" s="9"/>
      <c r="B684" s="38"/>
    </row>
    <row r="685">
      <c r="A685" s="9"/>
      <c r="B685" s="38"/>
    </row>
    <row r="686">
      <c r="A686" s="9"/>
      <c r="B686" s="38"/>
    </row>
    <row r="687">
      <c r="A687" s="9"/>
      <c r="B687" s="38"/>
    </row>
    <row r="688">
      <c r="A688" s="9"/>
      <c r="B688" s="38"/>
    </row>
    <row r="689">
      <c r="A689" s="9"/>
      <c r="B689" s="38"/>
    </row>
    <row r="690">
      <c r="A690" s="9"/>
      <c r="B690" s="38"/>
    </row>
    <row r="691">
      <c r="A691" s="9"/>
      <c r="B691" s="38"/>
    </row>
    <row r="692">
      <c r="A692" s="9"/>
      <c r="B692" s="38"/>
    </row>
    <row r="693">
      <c r="A693" s="9"/>
      <c r="B693" s="38"/>
    </row>
    <row r="694">
      <c r="A694" s="9"/>
      <c r="B694" s="38"/>
    </row>
    <row r="695">
      <c r="A695" s="9"/>
      <c r="B695" s="38"/>
    </row>
    <row r="696">
      <c r="A696" s="9"/>
      <c r="B696" s="38"/>
    </row>
    <row r="697">
      <c r="A697" s="9"/>
      <c r="B697" s="38"/>
    </row>
    <row r="698">
      <c r="A698" s="9"/>
      <c r="B698" s="38"/>
    </row>
    <row r="699">
      <c r="A699" s="9"/>
      <c r="B699" s="38"/>
    </row>
    <row r="700">
      <c r="A700" s="9"/>
      <c r="B700" s="38"/>
    </row>
    <row r="701">
      <c r="A701" s="9"/>
      <c r="B701" s="38"/>
    </row>
    <row r="702">
      <c r="A702" s="9"/>
      <c r="B702" s="38"/>
    </row>
    <row r="703">
      <c r="A703" s="9"/>
      <c r="B703" s="38"/>
    </row>
    <row r="704">
      <c r="A704" s="9"/>
      <c r="B704" s="38"/>
    </row>
    <row r="705">
      <c r="A705" s="9"/>
      <c r="B705" s="38"/>
    </row>
    <row r="706">
      <c r="A706" s="9"/>
      <c r="B706" s="38"/>
    </row>
    <row r="707">
      <c r="A707" s="9"/>
      <c r="B707" s="38"/>
    </row>
    <row r="708">
      <c r="A708" s="9"/>
      <c r="B708" s="38"/>
    </row>
    <row r="709">
      <c r="A709" s="9"/>
      <c r="B709" s="38"/>
    </row>
    <row r="710">
      <c r="A710" s="9"/>
      <c r="B710" s="38"/>
    </row>
    <row r="711">
      <c r="A711" s="9"/>
      <c r="B711" s="38"/>
    </row>
    <row r="712">
      <c r="A712" s="9"/>
      <c r="B712" s="38"/>
    </row>
    <row r="713">
      <c r="A713" s="9"/>
      <c r="B713" s="38"/>
    </row>
    <row r="714">
      <c r="A714" s="9"/>
      <c r="B714" s="38"/>
    </row>
    <row r="715">
      <c r="A715" s="9"/>
      <c r="B715" s="38"/>
    </row>
    <row r="716">
      <c r="A716" s="9"/>
      <c r="B716" s="38"/>
    </row>
    <row r="717">
      <c r="A717" s="9"/>
      <c r="B717" s="38"/>
    </row>
    <row r="718">
      <c r="A718" s="9"/>
      <c r="B718" s="38"/>
    </row>
    <row r="719">
      <c r="A719" s="9"/>
      <c r="B719" s="38"/>
    </row>
    <row r="720">
      <c r="A720" s="9"/>
      <c r="B720" s="38"/>
    </row>
    <row r="721">
      <c r="A721" s="9"/>
      <c r="B721" s="38"/>
    </row>
    <row r="722">
      <c r="A722" s="9"/>
      <c r="B722" s="38"/>
    </row>
    <row r="723">
      <c r="A723" s="9"/>
      <c r="B723" s="38"/>
    </row>
    <row r="724">
      <c r="A724" s="9"/>
      <c r="B724" s="38"/>
    </row>
    <row r="725">
      <c r="A725" s="9"/>
      <c r="B725" s="38"/>
    </row>
    <row r="726">
      <c r="A726" s="9"/>
      <c r="B726" s="38"/>
    </row>
    <row r="727">
      <c r="A727" s="9"/>
      <c r="B727" s="38"/>
    </row>
    <row r="728">
      <c r="A728" s="9"/>
      <c r="B728" s="38"/>
    </row>
    <row r="729">
      <c r="A729" s="9"/>
      <c r="B729" s="38"/>
    </row>
    <row r="730">
      <c r="A730" s="9"/>
      <c r="B730" s="38"/>
    </row>
    <row r="731">
      <c r="A731" s="9"/>
      <c r="B731" s="38"/>
    </row>
    <row r="732">
      <c r="A732" s="9"/>
      <c r="B732" s="38"/>
    </row>
    <row r="733">
      <c r="A733" s="9"/>
      <c r="B733" s="38"/>
    </row>
    <row r="734">
      <c r="A734" s="9"/>
      <c r="B734" s="38"/>
    </row>
    <row r="735">
      <c r="A735" s="9"/>
      <c r="B735" s="38"/>
    </row>
    <row r="736">
      <c r="A736" s="9"/>
      <c r="B736" s="38"/>
    </row>
    <row r="737">
      <c r="A737" s="9"/>
      <c r="B737" s="38"/>
    </row>
    <row r="738">
      <c r="A738" s="9"/>
      <c r="B738" s="38"/>
    </row>
    <row r="739">
      <c r="A739" s="9"/>
      <c r="B739" s="38"/>
    </row>
    <row r="740">
      <c r="A740" s="9"/>
      <c r="B740" s="38"/>
    </row>
    <row r="741">
      <c r="A741" s="9"/>
      <c r="B741" s="38"/>
    </row>
    <row r="742">
      <c r="A742" s="9"/>
      <c r="B742" s="38"/>
    </row>
    <row r="743">
      <c r="A743" s="9"/>
      <c r="B743" s="38"/>
    </row>
    <row r="744">
      <c r="A744" s="9"/>
      <c r="B744" s="38"/>
    </row>
    <row r="745">
      <c r="A745" s="9"/>
      <c r="B745" s="38"/>
    </row>
    <row r="746">
      <c r="A746" s="9"/>
      <c r="B746" s="38"/>
    </row>
    <row r="747">
      <c r="A747" s="9"/>
      <c r="B747" s="38"/>
    </row>
    <row r="748">
      <c r="A748" s="9"/>
      <c r="B748" s="38"/>
    </row>
    <row r="749">
      <c r="A749" s="9"/>
      <c r="B749" s="38"/>
    </row>
    <row r="750">
      <c r="A750" s="9"/>
      <c r="B750" s="38"/>
    </row>
    <row r="751">
      <c r="A751" s="9"/>
      <c r="B751" s="38"/>
    </row>
    <row r="752">
      <c r="A752" s="9"/>
      <c r="B752" s="38"/>
    </row>
    <row r="753">
      <c r="A753" s="9"/>
      <c r="B753" s="38"/>
    </row>
    <row r="754">
      <c r="A754" s="9"/>
      <c r="B754" s="38"/>
    </row>
    <row r="755">
      <c r="A755" s="9"/>
      <c r="B755" s="38"/>
    </row>
    <row r="756">
      <c r="A756" s="9"/>
      <c r="B756" s="38"/>
    </row>
    <row r="757">
      <c r="A757" s="9"/>
      <c r="B757" s="38"/>
    </row>
    <row r="758">
      <c r="A758" s="9"/>
      <c r="B758" s="38"/>
    </row>
    <row r="759">
      <c r="A759" s="9"/>
      <c r="B759" s="38"/>
    </row>
    <row r="760">
      <c r="A760" s="9"/>
      <c r="B760" s="38"/>
    </row>
    <row r="761">
      <c r="A761" s="9"/>
      <c r="B761" s="38"/>
    </row>
    <row r="762">
      <c r="A762" s="9"/>
      <c r="B762" s="38"/>
    </row>
    <row r="763">
      <c r="A763" s="9"/>
      <c r="B763" s="38"/>
    </row>
    <row r="764">
      <c r="A764" s="9"/>
      <c r="B764" s="38"/>
    </row>
    <row r="765">
      <c r="A765" s="9"/>
      <c r="B765" s="38"/>
    </row>
    <row r="766">
      <c r="A766" s="9"/>
      <c r="B766" s="38"/>
    </row>
    <row r="767">
      <c r="A767" s="9"/>
      <c r="B767" s="38"/>
    </row>
    <row r="768">
      <c r="A768" s="9"/>
      <c r="B768" s="38"/>
    </row>
    <row r="769">
      <c r="A769" s="9"/>
      <c r="B769" s="38"/>
    </row>
    <row r="770">
      <c r="A770" s="9"/>
      <c r="B770" s="38"/>
    </row>
    <row r="771">
      <c r="A771" s="9"/>
      <c r="B771" s="38"/>
    </row>
    <row r="772">
      <c r="A772" s="9"/>
      <c r="B772" s="38"/>
    </row>
    <row r="773">
      <c r="A773" s="9"/>
      <c r="B773" s="38"/>
    </row>
    <row r="774">
      <c r="A774" s="9"/>
      <c r="B774" s="38"/>
    </row>
    <row r="775">
      <c r="A775" s="9"/>
      <c r="B775" s="38"/>
    </row>
    <row r="776">
      <c r="A776" s="9"/>
      <c r="B776" s="38"/>
    </row>
    <row r="777">
      <c r="A777" s="9"/>
      <c r="B777" s="38"/>
    </row>
    <row r="778">
      <c r="A778" s="9"/>
      <c r="B778" s="38"/>
    </row>
    <row r="779">
      <c r="A779" s="9"/>
      <c r="B779" s="38"/>
    </row>
    <row r="780">
      <c r="A780" s="9"/>
      <c r="B780" s="38"/>
    </row>
    <row r="781">
      <c r="A781" s="9"/>
      <c r="B781" s="38"/>
    </row>
    <row r="782">
      <c r="A782" s="9"/>
      <c r="B782" s="38"/>
    </row>
    <row r="783">
      <c r="A783" s="9"/>
      <c r="B783" s="38"/>
    </row>
    <row r="784">
      <c r="A784" s="9"/>
      <c r="B784" s="38"/>
    </row>
    <row r="785">
      <c r="A785" s="9"/>
      <c r="B785" s="38"/>
    </row>
    <row r="786">
      <c r="A786" s="9"/>
      <c r="B786" s="38"/>
    </row>
    <row r="787">
      <c r="A787" s="9"/>
      <c r="B787" s="38"/>
    </row>
    <row r="788">
      <c r="A788" s="9"/>
      <c r="B788" s="38"/>
    </row>
    <row r="789">
      <c r="A789" s="9"/>
      <c r="B789" s="38"/>
    </row>
    <row r="790">
      <c r="A790" s="9"/>
      <c r="B790" s="38"/>
    </row>
    <row r="791">
      <c r="A791" s="9"/>
      <c r="B791" s="38"/>
    </row>
    <row r="792">
      <c r="A792" s="9"/>
      <c r="B792" s="38"/>
    </row>
    <row r="793">
      <c r="A793" s="9"/>
      <c r="B793" s="38"/>
    </row>
    <row r="794">
      <c r="A794" s="9"/>
      <c r="B794" s="38"/>
    </row>
    <row r="795">
      <c r="A795" s="9"/>
      <c r="B795" s="38"/>
    </row>
    <row r="796">
      <c r="A796" s="9"/>
      <c r="B796" s="38"/>
    </row>
    <row r="797">
      <c r="A797" s="9"/>
      <c r="B797" s="38"/>
    </row>
    <row r="798">
      <c r="A798" s="9"/>
      <c r="B798" s="38"/>
    </row>
    <row r="799">
      <c r="A799" s="9"/>
      <c r="B799" s="38"/>
    </row>
    <row r="800">
      <c r="A800" s="9"/>
      <c r="B800" s="38"/>
    </row>
    <row r="801">
      <c r="A801" s="9"/>
      <c r="B801" s="38"/>
    </row>
    <row r="802">
      <c r="A802" s="9"/>
      <c r="B802" s="38"/>
    </row>
    <row r="803">
      <c r="A803" s="9"/>
      <c r="B803" s="38"/>
    </row>
    <row r="804">
      <c r="A804" s="9"/>
      <c r="B804" s="38"/>
    </row>
    <row r="805">
      <c r="A805" s="9"/>
      <c r="B805" s="38"/>
    </row>
    <row r="806">
      <c r="A806" s="9"/>
      <c r="B806" s="38"/>
    </row>
    <row r="807">
      <c r="A807" s="9"/>
      <c r="B807" s="38"/>
    </row>
    <row r="808">
      <c r="A808" s="9"/>
      <c r="B808" s="38"/>
    </row>
    <row r="809">
      <c r="A809" s="9"/>
      <c r="B809" s="38"/>
    </row>
    <row r="810">
      <c r="A810" s="9"/>
      <c r="B810" s="38"/>
    </row>
    <row r="811">
      <c r="A811" s="9"/>
      <c r="B811" s="38"/>
    </row>
    <row r="812">
      <c r="A812" s="9"/>
      <c r="B812" s="38"/>
    </row>
    <row r="813">
      <c r="A813" s="9"/>
      <c r="B813" s="38"/>
    </row>
    <row r="814">
      <c r="A814" s="9"/>
      <c r="B814" s="38"/>
    </row>
    <row r="815">
      <c r="A815" s="9"/>
      <c r="B815" s="38"/>
    </row>
    <row r="816">
      <c r="A816" s="9"/>
      <c r="B816" s="38"/>
    </row>
    <row r="817">
      <c r="A817" s="9"/>
      <c r="B817" s="38"/>
    </row>
    <row r="818">
      <c r="A818" s="9"/>
      <c r="B818" s="38"/>
    </row>
    <row r="819">
      <c r="A819" s="9"/>
      <c r="B819" s="38"/>
    </row>
    <row r="820">
      <c r="A820" s="9"/>
      <c r="B820" s="38"/>
    </row>
    <row r="821">
      <c r="A821" s="9"/>
      <c r="B821" s="38"/>
    </row>
    <row r="822">
      <c r="A822" s="9"/>
      <c r="B822" s="38"/>
    </row>
    <row r="823">
      <c r="A823" s="9"/>
      <c r="B823" s="38"/>
    </row>
    <row r="824">
      <c r="A824" s="9"/>
      <c r="B824" s="38"/>
    </row>
    <row r="825">
      <c r="A825" s="9"/>
      <c r="B825" s="38"/>
    </row>
    <row r="826">
      <c r="A826" s="9"/>
      <c r="B826" s="38"/>
    </row>
    <row r="827">
      <c r="A827" s="9"/>
      <c r="B827" s="38"/>
    </row>
    <row r="828">
      <c r="A828" s="9"/>
      <c r="B828" s="38"/>
    </row>
    <row r="829">
      <c r="A829" s="9"/>
      <c r="B829" s="38"/>
    </row>
    <row r="830">
      <c r="A830" s="9"/>
      <c r="B830" s="38"/>
    </row>
    <row r="831">
      <c r="A831" s="9"/>
      <c r="B831" s="38"/>
    </row>
    <row r="832">
      <c r="A832" s="9"/>
      <c r="B832" s="38"/>
    </row>
    <row r="833">
      <c r="A833" s="9"/>
      <c r="B833" s="38"/>
    </row>
    <row r="834">
      <c r="A834" s="9"/>
      <c r="B834" s="38"/>
    </row>
    <row r="835">
      <c r="A835" s="9"/>
      <c r="B835" s="38"/>
    </row>
    <row r="836">
      <c r="A836" s="9"/>
      <c r="B836" s="38"/>
    </row>
    <row r="837">
      <c r="A837" s="9"/>
      <c r="B837" s="38"/>
    </row>
    <row r="838">
      <c r="A838" s="9"/>
      <c r="B838" s="38"/>
    </row>
    <row r="839">
      <c r="A839" s="9"/>
      <c r="B839" s="38"/>
    </row>
    <row r="840">
      <c r="A840" s="9"/>
      <c r="B840" s="38"/>
    </row>
    <row r="841">
      <c r="A841" s="9"/>
      <c r="B841" s="38"/>
    </row>
    <row r="842">
      <c r="A842" s="9"/>
      <c r="B842" s="38"/>
    </row>
    <row r="843">
      <c r="A843" s="9"/>
      <c r="B843" s="38"/>
    </row>
    <row r="844">
      <c r="A844" s="9"/>
      <c r="B844" s="38"/>
    </row>
    <row r="845">
      <c r="A845" s="9"/>
      <c r="B845" s="38"/>
    </row>
    <row r="846">
      <c r="A846" s="9"/>
      <c r="B846" s="38"/>
    </row>
    <row r="847">
      <c r="A847" s="9"/>
      <c r="B847" s="38"/>
    </row>
    <row r="848">
      <c r="A848" s="9"/>
      <c r="B848" s="38"/>
    </row>
    <row r="849">
      <c r="A849" s="9"/>
      <c r="B849" s="38"/>
    </row>
    <row r="850">
      <c r="A850" s="9"/>
      <c r="B850" s="38"/>
    </row>
    <row r="851">
      <c r="A851" s="9"/>
      <c r="B851" s="38"/>
    </row>
    <row r="852">
      <c r="A852" s="9"/>
      <c r="B852" s="38"/>
    </row>
    <row r="853">
      <c r="A853" s="9"/>
      <c r="B853" s="38"/>
    </row>
    <row r="854">
      <c r="A854" s="9"/>
      <c r="B854" s="38"/>
    </row>
    <row r="855">
      <c r="A855" s="9"/>
      <c r="B855" s="38"/>
    </row>
    <row r="856">
      <c r="A856" s="9"/>
      <c r="B856" s="38"/>
    </row>
    <row r="857">
      <c r="A857" s="9"/>
      <c r="B857" s="38"/>
    </row>
    <row r="858">
      <c r="A858" s="9"/>
      <c r="B858" s="38"/>
    </row>
    <row r="859">
      <c r="A859" s="9"/>
      <c r="B859" s="38"/>
    </row>
    <row r="860">
      <c r="A860" s="9"/>
      <c r="B860" s="38"/>
    </row>
    <row r="861">
      <c r="A861" s="9"/>
      <c r="B861" s="38"/>
    </row>
    <row r="862">
      <c r="A862" s="9"/>
      <c r="B862" s="38"/>
    </row>
    <row r="863">
      <c r="A863" s="9"/>
      <c r="B863" s="38"/>
    </row>
    <row r="864">
      <c r="A864" s="9"/>
      <c r="B864" s="38"/>
    </row>
    <row r="865">
      <c r="A865" s="9"/>
      <c r="B865" s="38"/>
    </row>
    <row r="866">
      <c r="A866" s="9"/>
      <c r="B866" s="38"/>
    </row>
    <row r="867">
      <c r="A867" s="9"/>
      <c r="B867" s="38"/>
    </row>
    <row r="868">
      <c r="A868" s="9"/>
      <c r="B868" s="38"/>
    </row>
    <row r="869">
      <c r="A869" s="9"/>
      <c r="B869" s="38"/>
    </row>
    <row r="870">
      <c r="A870" s="9"/>
      <c r="B870" s="38"/>
    </row>
    <row r="871">
      <c r="A871" s="9"/>
      <c r="B871" s="38"/>
    </row>
    <row r="872">
      <c r="A872" s="9"/>
      <c r="B872" s="38"/>
    </row>
    <row r="873">
      <c r="A873" s="9"/>
      <c r="B873" s="38"/>
    </row>
    <row r="874">
      <c r="A874" s="9"/>
      <c r="B874" s="38"/>
    </row>
    <row r="875">
      <c r="A875" s="9"/>
      <c r="B875" s="38"/>
    </row>
    <row r="876">
      <c r="A876" s="9"/>
      <c r="B876" s="38"/>
    </row>
    <row r="877">
      <c r="A877" s="9"/>
      <c r="B877" s="38"/>
    </row>
    <row r="878">
      <c r="A878" s="9"/>
      <c r="B878" s="38"/>
    </row>
    <row r="879">
      <c r="A879" s="9"/>
      <c r="B879" s="38"/>
    </row>
    <row r="880">
      <c r="A880" s="9"/>
      <c r="B880" s="38"/>
    </row>
    <row r="881">
      <c r="A881" s="9"/>
      <c r="B881" s="38"/>
    </row>
    <row r="882">
      <c r="A882" s="9"/>
      <c r="B882" s="38"/>
    </row>
    <row r="883">
      <c r="A883" s="9"/>
      <c r="B883" s="38"/>
    </row>
    <row r="884">
      <c r="A884" s="9"/>
      <c r="B884" s="38"/>
    </row>
    <row r="885">
      <c r="A885" s="9"/>
      <c r="B885" s="38"/>
    </row>
    <row r="886">
      <c r="A886" s="9"/>
      <c r="B886" s="38"/>
    </row>
    <row r="887">
      <c r="A887" s="9"/>
      <c r="B887" s="38"/>
    </row>
    <row r="888">
      <c r="A888" s="9"/>
      <c r="B888" s="38"/>
    </row>
    <row r="889">
      <c r="A889" s="9"/>
      <c r="B889" s="38"/>
    </row>
    <row r="890">
      <c r="A890" s="9"/>
      <c r="B890" s="38"/>
    </row>
    <row r="891">
      <c r="A891" s="9"/>
      <c r="B891" s="38"/>
    </row>
    <row r="892">
      <c r="A892" s="9"/>
      <c r="B892" s="38"/>
    </row>
    <row r="893">
      <c r="A893" s="9"/>
      <c r="B893" s="38"/>
    </row>
    <row r="894">
      <c r="A894" s="9"/>
      <c r="B894" s="38"/>
    </row>
    <row r="895">
      <c r="A895" s="9"/>
      <c r="B895" s="38"/>
    </row>
    <row r="896">
      <c r="A896" s="9"/>
      <c r="B896" s="38"/>
    </row>
    <row r="897">
      <c r="A897" s="9"/>
      <c r="B897" s="38"/>
    </row>
    <row r="898">
      <c r="A898" s="9"/>
      <c r="B898" s="38"/>
    </row>
    <row r="899">
      <c r="A899" s="9"/>
      <c r="B899" s="38"/>
    </row>
    <row r="900">
      <c r="A900" s="9"/>
      <c r="B900" s="38"/>
    </row>
    <row r="901">
      <c r="A901" s="9"/>
      <c r="B901" s="38"/>
    </row>
    <row r="902">
      <c r="A902" s="9"/>
      <c r="B902" s="38"/>
    </row>
    <row r="903">
      <c r="A903" s="9"/>
      <c r="B903" s="38"/>
    </row>
    <row r="904">
      <c r="A904" s="9"/>
      <c r="B904" s="38"/>
    </row>
    <row r="905">
      <c r="A905" s="9"/>
      <c r="B905" s="38"/>
    </row>
    <row r="906">
      <c r="A906" s="9"/>
      <c r="B906" s="38"/>
    </row>
    <row r="907">
      <c r="A907" s="9"/>
      <c r="B907" s="38"/>
    </row>
    <row r="908">
      <c r="A908" s="9"/>
      <c r="B908" s="38"/>
    </row>
    <row r="909">
      <c r="A909" s="9"/>
      <c r="B909" s="38"/>
    </row>
    <row r="910">
      <c r="A910" s="9"/>
      <c r="B910" s="38"/>
    </row>
    <row r="911">
      <c r="A911" s="9"/>
      <c r="B911" s="38"/>
    </row>
    <row r="912">
      <c r="A912" s="9"/>
      <c r="B912" s="38"/>
    </row>
    <row r="913">
      <c r="A913" s="9"/>
      <c r="B913" s="38"/>
    </row>
    <row r="914">
      <c r="A914" s="9"/>
      <c r="B914" s="38"/>
    </row>
    <row r="915">
      <c r="A915" s="9"/>
      <c r="B915" s="38"/>
    </row>
    <row r="916">
      <c r="A916" s="9"/>
      <c r="B916" s="38"/>
    </row>
    <row r="917">
      <c r="A917" s="9"/>
      <c r="B917" s="38"/>
    </row>
    <row r="918">
      <c r="A918" s="9"/>
      <c r="B918" s="38"/>
    </row>
    <row r="919">
      <c r="A919" s="9"/>
      <c r="B919" s="38"/>
    </row>
    <row r="920">
      <c r="A920" s="9"/>
      <c r="B920" s="38"/>
    </row>
    <row r="921">
      <c r="A921" s="9"/>
      <c r="B921" s="38"/>
    </row>
    <row r="922">
      <c r="A922" s="9"/>
      <c r="B922" s="38"/>
    </row>
    <row r="923">
      <c r="A923" s="9"/>
      <c r="B923" s="38"/>
    </row>
    <row r="924">
      <c r="A924" s="9"/>
      <c r="B924" s="38"/>
    </row>
    <row r="925">
      <c r="A925" s="9"/>
      <c r="B925" s="38"/>
    </row>
    <row r="926">
      <c r="A926" s="9"/>
      <c r="B926" s="38"/>
    </row>
    <row r="927">
      <c r="A927" s="9"/>
      <c r="B927" s="38"/>
    </row>
    <row r="928">
      <c r="A928" s="9"/>
      <c r="B928" s="38"/>
    </row>
    <row r="929">
      <c r="A929" s="9"/>
      <c r="B929" s="38"/>
    </row>
    <row r="930">
      <c r="A930" s="9"/>
      <c r="B930" s="38"/>
    </row>
    <row r="931">
      <c r="A931" s="9"/>
      <c r="B931" s="38"/>
    </row>
    <row r="932">
      <c r="A932" s="9"/>
      <c r="B932" s="38"/>
    </row>
    <row r="933">
      <c r="A933" s="9"/>
      <c r="B933" s="38"/>
    </row>
    <row r="934">
      <c r="A934" s="9"/>
      <c r="B934" s="38"/>
    </row>
    <row r="935">
      <c r="A935" s="9"/>
      <c r="B935" s="38"/>
    </row>
    <row r="936">
      <c r="A936" s="9"/>
      <c r="B936" s="38"/>
    </row>
    <row r="937">
      <c r="A937" s="9"/>
      <c r="B937" s="38"/>
    </row>
    <row r="938">
      <c r="A938" s="9"/>
      <c r="B938" s="38"/>
    </row>
    <row r="939">
      <c r="A939" s="9"/>
      <c r="B939" s="38"/>
    </row>
    <row r="940">
      <c r="A940" s="9"/>
      <c r="B940" s="38"/>
    </row>
    <row r="941">
      <c r="A941" s="9"/>
      <c r="B941" s="38"/>
    </row>
    <row r="942">
      <c r="A942" s="9"/>
      <c r="B942" s="38"/>
    </row>
    <row r="943">
      <c r="A943" s="9"/>
      <c r="B943" s="38"/>
    </row>
    <row r="944">
      <c r="A944" s="9"/>
      <c r="B944" s="38"/>
    </row>
    <row r="945">
      <c r="A945" s="9"/>
      <c r="B945" s="38"/>
    </row>
    <row r="946">
      <c r="A946" s="9"/>
      <c r="B946" s="38"/>
    </row>
    <row r="947">
      <c r="A947" s="9"/>
      <c r="B947" s="38"/>
    </row>
    <row r="948">
      <c r="A948" s="9"/>
      <c r="B948" s="38"/>
    </row>
    <row r="949">
      <c r="A949" s="9"/>
      <c r="B949" s="38"/>
    </row>
    <row r="950">
      <c r="A950" s="9"/>
      <c r="B950" s="38"/>
    </row>
    <row r="951">
      <c r="A951" s="9"/>
      <c r="B951" s="38"/>
    </row>
    <row r="952">
      <c r="A952" s="9"/>
      <c r="B952" s="38"/>
    </row>
    <row r="953">
      <c r="A953" s="9"/>
      <c r="B953" s="38"/>
    </row>
    <row r="954">
      <c r="A954" s="9"/>
      <c r="B954" s="38"/>
    </row>
    <row r="955">
      <c r="A955" s="9"/>
      <c r="B955" s="38"/>
    </row>
    <row r="956">
      <c r="A956" s="9"/>
      <c r="B956" s="38"/>
    </row>
    <row r="957">
      <c r="A957" s="9"/>
      <c r="B957" s="38"/>
    </row>
    <row r="958">
      <c r="A958" s="9"/>
      <c r="B958" s="38"/>
    </row>
    <row r="959">
      <c r="A959" s="9"/>
      <c r="B959" s="38"/>
    </row>
    <row r="960">
      <c r="A960" s="9"/>
      <c r="B960" s="38"/>
    </row>
    <row r="961">
      <c r="A961" s="9"/>
      <c r="B961" s="38"/>
    </row>
    <row r="962">
      <c r="A962" s="9"/>
      <c r="B962" s="38"/>
    </row>
    <row r="963">
      <c r="A963" s="9"/>
      <c r="B963" s="38"/>
    </row>
    <row r="964">
      <c r="A964" s="9"/>
      <c r="B964" s="38"/>
    </row>
    <row r="965">
      <c r="A965" s="9"/>
      <c r="B965" s="38"/>
    </row>
    <row r="966">
      <c r="A966" s="9"/>
      <c r="B966" s="38"/>
    </row>
    <row r="967">
      <c r="A967" s="9"/>
      <c r="B967" s="38"/>
    </row>
    <row r="968">
      <c r="A968" s="9"/>
      <c r="B968" s="38"/>
    </row>
    <row r="969">
      <c r="A969" s="9"/>
      <c r="B969" s="38"/>
    </row>
    <row r="970">
      <c r="A970" s="9"/>
      <c r="B970" s="38"/>
    </row>
    <row r="971">
      <c r="A971" s="9"/>
      <c r="B971" s="38"/>
    </row>
    <row r="972">
      <c r="A972" s="9"/>
      <c r="B972" s="38"/>
    </row>
    <row r="973">
      <c r="A973" s="9"/>
      <c r="B973" s="38"/>
    </row>
    <row r="974">
      <c r="A974" s="9"/>
      <c r="B974" s="38"/>
    </row>
    <row r="975">
      <c r="A975" s="9"/>
      <c r="B975" s="38"/>
    </row>
    <row r="976">
      <c r="A976" s="9"/>
      <c r="B976" s="38"/>
    </row>
    <row r="977">
      <c r="A977" s="9"/>
      <c r="B977" s="38"/>
    </row>
    <row r="978">
      <c r="A978" s="9"/>
      <c r="B978" s="38"/>
    </row>
    <row r="979">
      <c r="A979" s="9"/>
      <c r="B979" s="38"/>
    </row>
    <row r="980">
      <c r="A980" s="9"/>
      <c r="B980" s="38"/>
    </row>
    <row r="981">
      <c r="A981" s="9"/>
      <c r="B981" s="38"/>
    </row>
    <row r="982">
      <c r="A982" s="9"/>
      <c r="B982" s="38"/>
    </row>
    <row r="983">
      <c r="A983" s="9"/>
      <c r="B983" s="38"/>
    </row>
    <row r="984">
      <c r="A984" s="9"/>
      <c r="B984" s="38"/>
    </row>
    <row r="985">
      <c r="A985" s="9"/>
      <c r="B985" s="38"/>
    </row>
    <row r="986">
      <c r="A986" s="9"/>
      <c r="B986" s="38"/>
    </row>
    <row r="987">
      <c r="A987" s="9"/>
      <c r="B987" s="38"/>
    </row>
    <row r="988">
      <c r="A988" s="9"/>
      <c r="B988" s="38"/>
    </row>
    <row r="989">
      <c r="A989" s="9"/>
      <c r="B989" s="38"/>
    </row>
    <row r="990">
      <c r="A990" s="9"/>
      <c r="B990" s="38"/>
    </row>
    <row r="991">
      <c r="A991" s="9"/>
      <c r="B991" s="38"/>
    </row>
    <row r="992">
      <c r="A992" s="9"/>
      <c r="B992" s="38"/>
    </row>
    <row r="993">
      <c r="A993" s="9"/>
      <c r="B993" s="38"/>
    </row>
    <row r="994">
      <c r="A994" s="9"/>
      <c r="B994" s="38"/>
    </row>
    <row r="995">
      <c r="A995" s="9"/>
      <c r="B995" s="38"/>
    </row>
    <row r="996">
      <c r="A996" s="9"/>
      <c r="B996" s="38"/>
    </row>
    <row r="997">
      <c r="A997" s="9"/>
      <c r="B997" s="38"/>
    </row>
    <row r="998">
      <c r="A998" s="9"/>
      <c r="B998" s="38"/>
    </row>
    <row r="999">
      <c r="A999" s="9"/>
      <c r="B999" s="38"/>
    </row>
    <row r="1000">
      <c r="A1000" s="9"/>
      <c r="B1000" s="3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25</v>
      </c>
      <c r="B1" s="7" t="s">
        <v>1</v>
      </c>
    </row>
    <row r="2">
      <c r="A2" s="39">
        <v>45971.0</v>
      </c>
      <c r="B2" s="40">
        <v>105997.0</v>
      </c>
      <c r="C2" s="35"/>
    </row>
    <row r="3">
      <c r="A3" s="39">
        <v>45970.0</v>
      </c>
      <c r="B3" s="40">
        <v>104720.0</v>
      </c>
      <c r="C3" s="35"/>
    </row>
    <row r="4">
      <c r="A4" s="39">
        <v>45969.0</v>
      </c>
      <c r="B4" s="40">
        <v>102282.0</v>
      </c>
      <c r="C4" s="35"/>
    </row>
    <row r="5">
      <c r="A5" s="39">
        <v>45968.0</v>
      </c>
      <c r="B5" s="40">
        <v>103372.0</v>
      </c>
      <c r="C5" s="35"/>
    </row>
    <row r="6">
      <c r="A6" s="39">
        <v>45967.0</v>
      </c>
      <c r="B6" s="40">
        <v>101301.0</v>
      </c>
      <c r="C6" s="35"/>
    </row>
    <row r="7">
      <c r="A7" s="39">
        <v>45966.0</v>
      </c>
      <c r="B7" s="40">
        <v>103892.0</v>
      </c>
      <c r="C7" s="35"/>
    </row>
    <row r="8">
      <c r="A8" s="39">
        <v>45965.0</v>
      </c>
      <c r="B8" s="40">
        <v>101591.0</v>
      </c>
      <c r="C8" s="35"/>
    </row>
    <row r="15">
      <c r="C15" s="15" t="s">
        <v>26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t="s">
        <v>25</v>
      </c>
      <c r="B1" s="40" t="s">
        <v>27</v>
      </c>
    </row>
    <row r="2">
      <c r="A2" s="39">
        <v>45973.0</v>
      </c>
      <c r="B2" s="40">
        <v>101663.0</v>
      </c>
    </row>
    <row r="3">
      <c r="A3" s="39">
        <v>45972.0</v>
      </c>
      <c r="B3" s="40">
        <v>102997.0</v>
      </c>
    </row>
    <row r="4">
      <c r="A4" s="39">
        <v>45971.0</v>
      </c>
      <c r="B4" s="40">
        <v>105997.0</v>
      </c>
    </row>
    <row r="5">
      <c r="A5" s="39">
        <v>45970.0</v>
      </c>
      <c r="B5" s="40">
        <v>104720.0</v>
      </c>
    </row>
    <row r="6">
      <c r="A6" s="39">
        <v>45969.0</v>
      </c>
      <c r="B6" s="40">
        <v>102282.0</v>
      </c>
    </row>
    <row r="7">
      <c r="A7" s="39">
        <v>45968.0</v>
      </c>
      <c r="B7" s="40">
        <v>103372.0</v>
      </c>
    </row>
    <row r="8">
      <c r="A8" s="39">
        <v>45967.0</v>
      </c>
      <c r="B8" s="40">
        <v>101301.0</v>
      </c>
    </row>
    <row r="9">
      <c r="A9" s="39">
        <v>45966.0</v>
      </c>
      <c r="B9" s="40">
        <v>103892.0</v>
      </c>
    </row>
    <row r="10">
      <c r="A10" s="39">
        <v>45965.0</v>
      </c>
      <c r="B10" s="40">
        <v>101591.0</v>
      </c>
    </row>
    <row r="11">
      <c r="A11" s="39">
        <v>45964.0</v>
      </c>
      <c r="B11" s="40">
        <v>106548.0</v>
      </c>
    </row>
    <row r="12">
      <c r="A12" s="39">
        <v>45963.0</v>
      </c>
      <c r="B12" s="40">
        <v>110640.0</v>
      </c>
    </row>
    <row r="13">
      <c r="A13" s="39">
        <v>45962.0</v>
      </c>
      <c r="B13" s="40">
        <v>110064.0</v>
      </c>
    </row>
    <row r="30">
      <c r="C30" s="15" t="s">
        <v>28</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t="s">
        <v>29</v>
      </c>
      <c r="B1" s="33" t="s">
        <v>30</v>
      </c>
      <c r="C1" s="33" t="s">
        <v>31</v>
      </c>
      <c r="D1" s="33"/>
      <c r="E1" s="33"/>
      <c r="F1" s="33"/>
    </row>
    <row r="2">
      <c r="A2" s="36">
        <v>45974.0</v>
      </c>
      <c r="B2" s="41">
        <v>99697.0</v>
      </c>
      <c r="C2" s="41">
        <f>(B2-B3)/B3*100</f>
        <v>-1.933840237</v>
      </c>
      <c r="D2" s="41"/>
      <c r="E2" s="41"/>
      <c r="F2" s="41"/>
    </row>
    <row r="3">
      <c r="A3" s="39">
        <v>45973.0</v>
      </c>
      <c r="B3" s="40">
        <v>101663.0</v>
      </c>
      <c r="C3" s="41">
        <f>(B3-B4)/B2*100</f>
        <v>101.9719751</v>
      </c>
      <c r="D3" s="41"/>
      <c r="E3" s="41"/>
      <c r="F3" s="41"/>
    </row>
    <row r="4">
      <c r="A4" s="9"/>
      <c r="B4" s="42"/>
      <c r="C4" s="42"/>
      <c r="D4" s="42"/>
      <c r="E4" s="42"/>
      <c r="F4" s="42"/>
    </row>
    <row r="5">
      <c r="A5" s="9"/>
      <c r="B5" s="42"/>
      <c r="C5" s="42"/>
      <c r="D5" s="42"/>
      <c r="E5" s="42"/>
      <c r="F5" s="42"/>
    </row>
    <row r="6">
      <c r="A6" s="9"/>
      <c r="B6" s="42"/>
      <c r="C6" s="42"/>
      <c r="D6" s="42"/>
      <c r="E6" s="42"/>
      <c r="F6" s="42"/>
    </row>
    <row r="7">
      <c r="A7" s="9"/>
      <c r="B7" s="42"/>
      <c r="C7" s="42"/>
      <c r="D7" s="42"/>
      <c r="E7" s="42"/>
      <c r="F7" s="42"/>
    </row>
    <row r="8">
      <c r="A8" s="9"/>
      <c r="B8" s="42"/>
      <c r="C8" s="7" t="s">
        <v>13</v>
      </c>
      <c r="D8" s="42"/>
      <c r="E8" s="42"/>
      <c r="F8" s="42"/>
    </row>
    <row r="9">
      <c r="A9" s="9"/>
    </row>
    <row r="10">
      <c r="A10" s="9"/>
      <c r="B10" s="42"/>
      <c r="C10" s="7"/>
      <c r="D10" s="7" t="s">
        <v>32</v>
      </c>
      <c r="E10" s="42"/>
      <c r="F10" s="42"/>
    </row>
    <row r="11">
      <c r="A11" s="9"/>
      <c r="B11" s="42"/>
      <c r="D11" s="7" t="s">
        <v>33</v>
      </c>
      <c r="E11" s="42"/>
      <c r="F11" s="42"/>
    </row>
    <row r="12">
      <c r="A12" s="9"/>
      <c r="B12" s="42"/>
      <c r="C12" s="42"/>
      <c r="D12" s="42"/>
      <c r="E12" s="42"/>
      <c r="F12" s="42"/>
    </row>
    <row r="13">
      <c r="A13" s="9"/>
      <c r="B13" s="42"/>
      <c r="C13" s="42"/>
      <c r="D13" s="42"/>
      <c r="E13" s="42"/>
      <c r="F13" s="42"/>
    </row>
    <row r="14">
      <c r="A14" s="9"/>
      <c r="B14" s="42"/>
      <c r="C14" s="42"/>
      <c r="D14" s="42"/>
      <c r="E14" s="42"/>
      <c r="F14" s="42"/>
    </row>
    <row r="15">
      <c r="A15" s="9"/>
      <c r="B15" s="42"/>
      <c r="C15" s="42"/>
      <c r="D15" s="42"/>
      <c r="E15" s="42"/>
      <c r="F15" s="42"/>
    </row>
    <row r="16">
      <c r="A16" s="9"/>
      <c r="B16" s="42"/>
      <c r="C16" s="42"/>
      <c r="D16" s="42"/>
      <c r="E16" s="42"/>
      <c r="F16" s="42"/>
    </row>
    <row r="17">
      <c r="A17" s="9"/>
      <c r="B17" s="42"/>
      <c r="C17" s="42"/>
      <c r="D17" s="42"/>
      <c r="E17" s="42"/>
      <c r="F17" s="42"/>
    </row>
    <row r="18">
      <c r="A18" s="9"/>
      <c r="B18" s="42"/>
      <c r="C18" s="42"/>
      <c r="D18" s="42"/>
      <c r="E18" s="42"/>
      <c r="F18" s="42"/>
    </row>
    <row r="19">
      <c r="A19" s="9"/>
      <c r="B19" s="42"/>
      <c r="C19" s="42"/>
      <c r="D19" s="42"/>
      <c r="E19" s="42"/>
      <c r="F19" s="42"/>
    </row>
    <row r="20">
      <c r="A20" s="9"/>
      <c r="B20" s="42"/>
      <c r="C20" s="42"/>
      <c r="D20" s="42"/>
      <c r="E20" s="42"/>
      <c r="F20" s="42"/>
    </row>
    <row r="21">
      <c r="A21" s="9"/>
      <c r="B21" s="42"/>
      <c r="C21" s="42"/>
      <c r="D21" s="42"/>
      <c r="E21" s="42"/>
      <c r="F21" s="42"/>
    </row>
    <row r="22">
      <c r="A22" s="9"/>
      <c r="B22" s="42"/>
      <c r="C22" s="42"/>
      <c r="D22" s="42"/>
      <c r="E22" s="42"/>
      <c r="F22" s="42"/>
    </row>
    <row r="23">
      <c r="A23" s="9"/>
      <c r="B23" s="42"/>
      <c r="C23" s="42"/>
      <c r="D23" s="42"/>
      <c r="E23" s="42"/>
      <c r="F23" s="42"/>
    </row>
    <row r="24">
      <c r="A24" s="9"/>
      <c r="B24" s="42"/>
      <c r="C24" s="42"/>
      <c r="D24" s="42"/>
      <c r="E24" s="42"/>
      <c r="F24" s="42"/>
    </row>
    <row r="25">
      <c r="A25" s="9"/>
      <c r="B25" s="42"/>
      <c r="C25" s="42"/>
      <c r="D25" s="42"/>
      <c r="E25" s="42"/>
      <c r="F25" s="42"/>
    </row>
    <row r="26">
      <c r="A26" s="9"/>
      <c r="B26" s="42"/>
      <c r="C26" s="42"/>
      <c r="D26" s="42"/>
      <c r="E26" s="42"/>
      <c r="F26" s="42"/>
    </row>
    <row r="27">
      <c r="A27" s="9"/>
      <c r="B27" s="42"/>
      <c r="C27" s="42"/>
      <c r="D27" s="42"/>
      <c r="E27" s="42"/>
      <c r="F27" s="42"/>
    </row>
    <row r="28">
      <c r="A28" s="9"/>
      <c r="B28" s="42"/>
      <c r="C28" s="42"/>
      <c r="D28" s="42"/>
      <c r="E28" s="42"/>
      <c r="F28" s="42"/>
    </row>
    <row r="29">
      <c r="A29" s="9"/>
      <c r="B29" s="42"/>
      <c r="C29" s="42"/>
      <c r="D29" s="42"/>
      <c r="E29" s="42"/>
      <c r="F29" s="42"/>
    </row>
    <row r="30">
      <c r="A30" s="9"/>
      <c r="B30" s="42"/>
      <c r="C30" s="42"/>
      <c r="D30" s="42"/>
      <c r="E30" s="42"/>
      <c r="F30" s="42"/>
    </row>
    <row r="31">
      <c r="A31" s="9"/>
      <c r="B31" s="42"/>
      <c r="C31" s="42"/>
      <c r="D31" s="42"/>
      <c r="E31" s="42"/>
      <c r="F31" s="42"/>
    </row>
    <row r="32">
      <c r="A32" s="9"/>
      <c r="B32" s="42"/>
      <c r="C32" s="42"/>
      <c r="D32" s="42"/>
      <c r="E32" s="42"/>
      <c r="F32" s="42"/>
    </row>
    <row r="33">
      <c r="A33" s="9"/>
      <c r="B33" s="42"/>
      <c r="C33" s="42"/>
      <c r="D33" s="42"/>
      <c r="E33" s="42"/>
      <c r="F33" s="42"/>
    </row>
    <row r="34">
      <c r="A34" s="9"/>
      <c r="B34" s="42"/>
      <c r="C34" s="42"/>
      <c r="D34" s="42"/>
      <c r="E34" s="42"/>
      <c r="F34" s="42"/>
    </row>
    <row r="35">
      <c r="A35" s="9"/>
      <c r="B35" s="42"/>
      <c r="C35" s="42"/>
      <c r="D35" s="42"/>
      <c r="E35" s="42"/>
      <c r="F35" s="42"/>
    </row>
    <row r="36">
      <c r="A36" s="9"/>
      <c r="B36" s="42"/>
      <c r="C36" s="42"/>
      <c r="D36" s="42"/>
      <c r="E36" s="42"/>
      <c r="F36" s="42"/>
    </row>
    <row r="37">
      <c r="A37" s="9"/>
      <c r="B37" s="42"/>
      <c r="C37" s="42"/>
      <c r="D37" s="42"/>
      <c r="E37" s="42"/>
      <c r="F37" s="42"/>
    </row>
    <row r="38">
      <c r="A38" s="9"/>
      <c r="B38" s="42"/>
      <c r="C38" s="42"/>
      <c r="D38" s="42"/>
      <c r="E38" s="42"/>
      <c r="F38" s="42"/>
    </row>
    <row r="39">
      <c r="A39" s="9"/>
      <c r="B39" s="42"/>
      <c r="C39" s="42"/>
      <c r="D39" s="42"/>
      <c r="E39" s="42"/>
      <c r="F39" s="42"/>
    </row>
    <row r="40">
      <c r="A40" s="9"/>
      <c r="B40" s="42"/>
      <c r="C40" s="42"/>
      <c r="D40" s="42"/>
      <c r="E40" s="42"/>
      <c r="F40" s="42"/>
    </row>
    <row r="41">
      <c r="A41" s="9"/>
      <c r="B41" s="42"/>
      <c r="C41" s="42"/>
      <c r="D41" s="42"/>
      <c r="E41" s="42"/>
      <c r="F41" s="42"/>
    </row>
    <row r="42">
      <c r="A42" s="9"/>
      <c r="B42" s="42"/>
      <c r="C42" s="42"/>
      <c r="D42" s="42"/>
      <c r="E42" s="42"/>
      <c r="F42" s="42"/>
    </row>
    <row r="43">
      <c r="A43" s="9"/>
      <c r="B43" s="42"/>
      <c r="C43" s="42"/>
      <c r="D43" s="42"/>
      <c r="E43" s="42"/>
      <c r="F43" s="42"/>
    </row>
    <row r="44">
      <c r="A44" s="9"/>
      <c r="B44" s="42"/>
      <c r="C44" s="42"/>
      <c r="D44" s="42"/>
      <c r="E44" s="42"/>
      <c r="F44" s="42"/>
    </row>
    <row r="45">
      <c r="A45" s="9"/>
      <c r="B45" s="42"/>
      <c r="C45" s="42"/>
      <c r="D45" s="42"/>
      <c r="E45" s="42"/>
      <c r="F45" s="42"/>
    </row>
    <row r="46">
      <c r="A46" s="9"/>
      <c r="B46" s="42"/>
      <c r="C46" s="42"/>
      <c r="D46" s="42"/>
      <c r="E46" s="42"/>
      <c r="F46" s="42"/>
    </row>
    <row r="47">
      <c r="A47" s="9"/>
      <c r="B47" s="42"/>
      <c r="C47" s="42"/>
      <c r="D47" s="42"/>
      <c r="E47" s="42"/>
      <c r="F47" s="42"/>
    </row>
    <row r="48">
      <c r="A48" s="9"/>
      <c r="B48" s="42"/>
      <c r="C48" s="42"/>
      <c r="D48" s="42"/>
      <c r="E48" s="42"/>
      <c r="F48" s="42"/>
    </row>
    <row r="49">
      <c r="A49" s="9"/>
      <c r="B49" s="42"/>
      <c r="C49" s="42"/>
      <c r="D49" s="42"/>
      <c r="E49" s="42"/>
      <c r="F49" s="42"/>
    </row>
    <row r="50">
      <c r="A50" s="9"/>
      <c r="B50" s="42"/>
      <c r="C50" s="42"/>
      <c r="D50" s="42"/>
      <c r="E50" s="42"/>
      <c r="F50" s="42"/>
    </row>
    <row r="51">
      <c r="A51" s="9"/>
      <c r="B51" s="42"/>
      <c r="C51" s="42"/>
      <c r="D51" s="42"/>
      <c r="E51" s="42"/>
      <c r="F51" s="42"/>
    </row>
    <row r="52">
      <c r="A52" s="9"/>
      <c r="B52" s="42"/>
      <c r="C52" s="42"/>
      <c r="D52" s="42"/>
      <c r="E52" s="42"/>
      <c r="F52" s="42"/>
    </row>
    <row r="53">
      <c r="A53" s="9"/>
      <c r="B53" s="42"/>
      <c r="C53" s="42"/>
      <c r="D53" s="42"/>
      <c r="E53" s="42"/>
      <c r="F53" s="42"/>
    </row>
    <row r="54">
      <c r="A54" s="9"/>
      <c r="B54" s="42"/>
      <c r="C54" s="42"/>
      <c r="D54" s="42"/>
      <c r="E54" s="42"/>
      <c r="F54" s="42"/>
    </row>
    <row r="55">
      <c r="A55" s="9"/>
      <c r="B55" s="42"/>
      <c r="C55" s="42"/>
      <c r="D55" s="42"/>
      <c r="E55" s="42"/>
      <c r="F55" s="42"/>
    </row>
    <row r="56">
      <c r="A56" s="9"/>
      <c r="B56" s="42"/>
      <c r="C56" s="42"/>
      <c r="D56" s="42"/>
      <c r="E56" s="42"/>
      <c r="F56" s="42"/>
    </row>
    <row r="57">
      <c r="A57" s="9"/>
      <c r="B57" s="42"/>
      <c r="C57" s="42"/>
      <c r="D57" s="42"/>
      <c r="E57" s="42"/>
      <c r="F57" s="42"/>
    </row>
    <row r="58">
      <c r="A58" s="9"/>
      <c r="B58" s="42"/>
      <c r="C58" s="42"/>
      <c r="D58" s="42"/>
      <c r="E58" s="42"/>
      <c r="F58" s="42"/>
    </row>
    <row r="59">
      <c r="A59" s="9"/>
      <c r="B59" s="42"/>
      <c r="C59" s="42"/>
      <c r="D59" s="42"/>
      <c r="E59" s="42"/>
      <c r="F59" s="42"/>
    </row>
    <row r="60">
      <c r="A60" s="9"/>
      <c r="B60" s="42"/>
      <c r="C60" s="42"/>
      <c r="D60" s="42"/>
      <c r="E60" s="42"/>
      <c r="F60" s="42"/>
    </row>
    <row r="61">
      <c r="A61" s="9"/>
      <c r="B61" s="42"/>
      <c r="C61" s="42"/>
      <c r="D61" s="42"/>
      <c r="E61" s="42"/>
      <c r="F61" s="42"/>
    </row>
    <row r="62">
      <c r="A62" s="9"/>
      <c r="B62" s="42"/>
      <c r="C62" s="42"/>
      <c r="D62" s="42"/>
      <c r="E62" s="42"/>
      <c r="F62" s="42"/>
    </row>
    <row r="63">
      <c r="A63" s="9"/>
      <c r="B63" s="42"/>
      <c r="C63" s="42"/>
      <c r="D63" s="42"/>
      <c r="E63" s="42"/>
      <c r="F63" s="42"/>
    </row>
    <row r="64">
      <c r="A64" s="9"/>
      <c r="B64" s="42"/>
      <c r="C64" s="42"/>
      <c r="D64" s="42"/>
      <c r="E64" s="42"/>
      <c r="F64" s="42"/>
    </row>
    <row r="65">
      <c r="A65" s="9"/>
      <c r="B65" s="42"/>
      <c r="C65" s="42"/>
      <c r="D65" s="42"/>
      <c r="E65" s="42"/>
      <c r="F65" s="42"/>
    </row>
    <row r="66">
      <c r="A66" s="9"/>
      <c r="B66" s="42"/>
      <c r="C66" s="42"/>
      <c r="D66" s="42"/>
      <c r="E66" s="42"/>
      <c r="F66" s="42"/>
    </row>
    <row r="67">
      <c r="A67" s="9"/>
      <c r="B67" s="42"/>
      <c r="C67" s="42"/>
      <c r="D67" s="42"/>
      <c r="E67" s="42"/>
      <c r="F67" s="42"/>
    </row>
    <row r="68">
      <c r="A68" s="9"/>
      <c r="B68" s="42"/>
      <c r="C68" s="42"/>
      <c r="D68" s="42"/>
      <c r="E68" s="42"/>
      <c r="F68" s="42"/>
    </row>
    <row r="69">
      <c r="A69" s="9"/>
      <c r="B69" s="42"/>
      <c r="C69" s="42"/>
      <c r="D69" s="42"/>
      <c r="E69" s="42"/>
      <c r="F69" s="42"/>
    </row>
    <row r="70">
      <c r="A70" s="9"/>
      <c r="B70" s="42"/>
      <c r="C70" s="42"/>
      <c r="D70" s="42"/>
      <c r="E70" s="42"/>
      <c r="F70" s="42"/>
    </row>
    <row r="71">
      <c r="A71" s="9"/>
      <c r="B71" s="42"/>
      <c r="C71" s="42"/>
      <c r="D71" s="42"/>
      <c r="E71" s="42"/>
      <c r="F71" s="42"/>
    </row>
    <row r="72">
      <c r="A72" s="9"/>
      <c r="B72" s="42"/>
      <c r="C72" s="42"/>
      <c r="D72" s="42"/>
      <c r="E72" s="42"/>
      <c r="F72" s="42"/>
    </row>
    <row r="73">
      <c r="A73" s="9"/>
      <c r="B73" s="42"/>
      <c r="C73" s="42"/>
      <c r="D73" s="42"/>
      <c r="E73" s="42"/>
      <c r="F73" s="42"/>
    </row>
    <row r="74">
      <c r="A74" s="9"/>
      <c r="B74" s="42"/>
      <c r="C74" s="42"/>
      <c r="D74" s="42"/>
      <c r="E74" s="42"/>
      <c r="F74" s="42"/>
    </row>
    <row r="75">
      <c r="A75" s="9"/>
      <c r="B75" s="42"/>
      <c r="C75" s="42"/>
      <c r="D75" s="42"/>
      <c r="E75" s="42"/>
      <c r="F75" s="42"/>
    </row>
    <row r="76">
      <c r="A76" s="9"/>
      <c r="B76" s="42"/>
      <c r="C76" s="42"/>
      <c r="D76" s="42"/>
      <c r="E76" s="42"/>
      <c r="F76" s="42"/>
    </row>
    <row r="77">
      <c r="A77" s="9"/>
      <c r="B77" s="42"/>
      <c r="C77" s="42"/>
      <c r="D77" s="42"/>
      <c r="E77" s="42"/>
      <c r="F77" s="42"/>
    </row>
    <row r="78">
      <c r="A78" s="9"/>
      <c r="B78" s="42"/>
      <c r="C78" s="42"/>
      <c r="D78" s="42"/>
      <c r="E78" s="42"/>
      <c r="F78" s="42"/>
    </row>
    <row r="79">
      <c r="A79" s="9"/>
      <c r="B79" s="42"/>
      <c r="C79" s="42"/>
      <c r="D79" s="42"/>
      <c r="E79" s="42"/>
      <c r="F79" s="42"/>
    </row>
    <row r="80">
      <c r="A80" s="9"/>
      <c r="B80" s="42"/>
      <c r="C80" s="42"/>
      <c r="D80" s="42"/>
      <c r="E80" s="42"/>
      <c r="F80" s="42"/>
    </row>
    <row r="81">
      <c r="A81" s="9"/>
      <c r="B81" s="42"/>
      <c r="C81" s="42"/>
      <c r="D81" s="42"/>
      <c r="E81" s="42"/>
      <c r="F81" s="42"/>
    </row>
    <row r="82">
      <c r="A82" s="9"/>
      <c r="B82" s="42"/>
      <c r="C82" s="42"/>
      <c r="D82" s="42"/>
      <c r="E82" s="42"/>
      <c r="F82" s="42"/>
    </row>
    <row r="83">
      <c r="A83" s="9"/>
      <c r="B83" s="42"/>
      <c r="C83" s="42"/>
      <c r="D83" s="42"/>
      <c r="E83" s="42"/>
      <c r="F83" s="42"/>
    </row>
    <row r="84">
      <c r="A84" s="9"/>
      <c r="B84" s="42"/>
      <c r="C84" s="42"/>
      <c r="D84" s="42"/>
      <c r="E84" s="42"/>
      <c r="F84" s="42"/>
    </row>
    <row r="85">
      <c r="A85" s="9"/>
      <c r="B85" s="42"/>
      <c r="C85" s="42"/>
      <c r="D85" s="42"/>
      <c r="E85" s="42"/>
      <c r="F85" s="42"/>
    </row>
    <row r="86">
      <c r="A86" s="9"/>
      <c r="B86" s="42"/>
      <c r="C86" s="42"/>
      <c r="D86" s="42"/>
      <c r="E86" s="42"/>
      <c r="F86" s="42"/>
    </row>
    <row r="87">
      <c r="A87" s="9"/>
      <c r="B87" s="42"/>
      <c r="C87" s="42"/>
      <c r="D87" s="42"/>
      <c r="E87" s="42"/>
      <c r="F87" s="42"/>
    </row>
    <row r="88">
      <c r="A88" s="9"/>
      <c r="B88" s="42"/>
      <c r="C88" s="42"/>
      <c r="D88" s="42"/>
      <c r="E88" s="42"/>
      <c r="F88" s="42"/>
    </row>
    <row r="89">
      <c r="A89" s="9"/>
      <c r="B89" s="42"/>
      <c r="C89" s="42"/>
      <c r="D89" s="42"/>
      <c r="E89" s="42"/>
      <c r="F89" s="42"/>
    </row>
    <row r="90">
      <c r="A90" s="9"/>
      <c r="B90" s="42"/>
      <c r="C90" s="42"/>
      <c r="D90" s="42"/>
      <c r="E90" s="42"/>
      <c r="F90" s="42"/>
    </row>
    <row r="91">
      <c r="A91" s="9"/>
      <c r="B91" s="42"/>
      <c r="C91" s="42"/>
      <c r="D91" s="42"/>
      <c r="E91" s="42"/>
      <c r="F91" s="42"/>
    </row>
    <row r="92">
      <c r="A92" s="9"/>
      <c r="B92" s="42"/>
      <c r="C92" s="42"/>
      <c r="D92" s="42"/>
      <c r="E92" s="42"/>
      <c r="F92" s="42"/>
    </row>
    <row r="93">
      <c r="A93" s="9"/>
      <c r="B93" s="42"/>
      <c r="C93" s="42"/>
      <c r="D93" s="42"/>
      <c r="E93" s="42"/>
      <c r="F93" s="42"/>
    </row>
    <row r="94">
      <c r="A94" s="9"/>
      <c r="B94" s="42"/>
      <c r="C94" s="42"/>
      <c r="D94" s="42"/>
      <c r="E94" s="42"/>
      <c r="F94" s="42"/>
    </row>
    <row r="95">
      <c r="A95" s="9"/>
      <c r="B95" s="42"/>
      <c r="C95" s="42"/>
      <c r="D95" s="42"/>
      <c r="E95" s="42"/>
      <c r="F95" s="42"/>
    </row>
    <row r="96">
      <c r="A96" s="9"/>
      <c r="B96" s="42"/>
      <c r="C96" s="42"/>
      <c r="D96" s="42"/>
      <c r="E96" s="42"/>
      <c r="F96" s="42"/>
    </row>
    <row r="97">
      <c r="A97" s="9"/>
      <c r="B97" s="42"/>
      <c r="C97" s="42"/>
      <c r="D97" s="42"/>
      <c r="E97" s="42"/>
      <c r="F97" s="42"/>
    </row>
    <row r="98">
      <c r="A98" s="9"/>
      <c r="B98" s="42"/>
      <c r="C98" s="42"/>
      <c r="D98" s="42"/>
      <c r="E98" s="42"/>
      <c r="F98" s="42"/>
    </row>
    <row r="99">
      <c r="A99" s="9"/>
      <c r="B99" s="42"/>
      <c r="C99" s="42"/>
      <c r="D99" s="42"/>
      <c r="E99" s="42"/>
      <c r="F99" s="42"/>
    </row>
    <row r="100">
      <c r="A100" s="9"/>
      <c r="B100" s="42"/>
      <c r="C100" s="42"/>
      <c r="D100" s="42"/>
      <c r="E100" s="42"/>
      <c r="F100" s="42"/>
    </row>
    <row r="101">
      <c r="A101" s="9"/>
      <c r="B101" s="42"/>
      <c r="C101" s="42"/>
      <c r="D101" s="42"/>
      <c r="E101" s="42"/>
      <c r="F101" s="42"/>
    </row>
    <row r="102">
      <c r="A102" s="9"/>
      <c r="B102" s="42"/>
      <c r="C102" s="42"/>
      <c r="D102" s="42"/>
      <c r="E102" s="42"/>
      <c r="F102" s="42"/>
    </row>
    <row r="103">
      <c r="A103" s="9"/>
      <c r="B103" s="42"/>
      <c r="C103" s="42"/>
      <c r="D103" s="42"/>
      <c r="E103" s="42"/>
      <c r="F103" s="42"/>
    </row>
    <row r="104">
      <c r="A104" s="9"/>
      <c r="B104" s="42"/>
      <c r="C104" s="42"/>
      <c r="D104" s="42"/>
      <c r="E104" s="42"/>
      <c r="F104" s="42"/>
    </row>
    <row r="105">
      <c r="A105" s="9"/>
      <c r="B105" s="42"/>
      <c r="C105" s="42"/>
      <c r="D105" s="42"/>
      <c r="E105" s="42"/>
      <c r="F105" s="42"/>
    </row>
    <row r="106">
      <c r="A106" s="9"/>
      <c r="B106" s="42"/>
      <c r="C106" s="42"/>
      <c r="D106" s="42"/>
      <c r="E106" s="42"/>
      <c r="F106" s="42"/>
    </row>
    <row r="107">
      <c r="A107" s="9"/>
      <c r="B107" s="42"/>
      <c r="C107" s="42"/>
      <c r="D107" s="42"/>
      <c r="E107" s="42"/>
      <c r="F107" s="42"/>
    </row>
    <row r="108">
      <c r="A108" s="9"/>
      <c r="B108" s="42"/>
      <c r="C108" s="42"/>
      <c r="D108" s="42"/>
      <c r="E108" s="42"/>
      <c r="F108" s="42"/>
    </row>
    <row r="109">
      <c r="A109" s="9"/>
      <c r="B109" s="42"/>
      <c r="C109" s="42"/>
      <c r="D109" s="42"/>
      <c r="E109" s="42"/>
      <c r="F109" s="42"/>
    </row>
    <row r="110">
      <c r="A110" s="9"/>
      <c r="B110" s="42"/>
      <c r="C110" s="42"/>
      <c r="D110" s="42"/>
      <c r="E110" s="42"/>
      <c r="F110" s="42"/>
    </row>
    <row r="111">
      <c r="A111" s="9"/>
      <c r="B111" s="42"/>
      <c r="C111" s="42"/>
      <c r="D111" s="42"/>
      <c r="E111" s="42"/>
      <c r="F111" s="42"/>
    </row>
    <row r="112">
      <c r="A112" s="9"/>
      <c r="B112" s="42"/>
      <c r="C112" s="42"/>
      <c r="D112" s="42"/>
      <c r="E112" s="42"/>
      <c r="F112" s="42"/>
    </row>
    <row r="113">
      <c r="A113" s="9"/>
      <c r="B113" s="42"/>
      <c r="C113" s="42"/>
      <c r="D113" s="42"/>
      <c r="E113" s="42"/>
      <c r="F113" s="42"/>
    </row>
    <row r="114">
      <c r="A114" s="9"/>
      <c r="B114" s="42"/>
      <c r="C114" s="42"/>
      <c r="D114" s="42"/>
      <c r="E114" s="42"/>
      <c r="F114" s="42"/>
    </row>
    <row r="115">
      <c r="A115" s="9"/>
      <c r="B115" s="42"/>
      <c r="C115" s="42"/>
      <c r="D115" s="42"/>
      <c r="E115" s="42"/>
      <c r="F115" s="42"/>
    </row>
    <row r="116">
      <c r="A116" s="9"/>
      <c r="B116" s="42"/>
      <c r="C116" s="42"/>
      <c r="D116" s="42"/>
      <c r="E116" s="42"/>
      <c r="F116" s="42"/>
    </row>
    <row r="117">
      <c r="A117" s="9"/>
      <c r="B117" s="42"/>
      <c r="C117" s="42"/>
      <c r="D117" s="42"/>
      <c r="E117" s="42"/>
      <c r="F117" s="42"/>
    </row>
    <row r="118">
      <c r="A118" s="9"/>
      <c r="B118" s="42"/>
      <c r="C118" s="42"/>
      <c r="D118" s="42"/>
      <c r="E118" s="42"/>
      <c r="F118" s="42"/>
    </row>
    <row r="119">
      <c r="A119" s="9"/>
      <c r="B119" s="42"/>
      <c r="C119" s="42"/>
      <c r="D119" s="42"/>
      <c r="E119" s="42"/>
      <c r="F119" s="42"/>
    </row>
    <row r="120">
      <c r="A120" s="9"/>
      <c r="B120" s="42"/>
      <c r="C120" s="42"/>
      <c r="D120" s="42"/>
      <c r="E120" s="42"/>
      <c r="F120" s="42"/>
    </row>
    <row r="121">
      <c r="A121" s="9"/>
      <c r="B121" s="42"/>
      <c r="C121" s="42"/>
      <c r="D121" s="42"/>
      <c r="E121" s="42"/>
      <c r="F121" s="42"/>
    </row>
    <row r="122">
      <c r="A122" s="9"/>
      <c r="B122" s="42"/>
      <c r="C122" s="42"/>
      <c r="D122" s="42"/>
      <c r="E122" s="42"/>
      <c r="F122" s="42"/>
    </row>
    <row r="123">
      <c r="A123" s="9"/>
      <c r="B123" s="42"/>
      <c r="C123" s="42"/>
      <c r="D123" s="42"/>
      <c r="E123" s="42"/>
      <c r="F123" s="42"/>
    </row>
    <row r="124">
      <c r="A124" s="9"/>
      <c r="B124" s="42"/>
      <c r="C124" s="42"/>
      <c r="D124" s="42"/>
      <c r="E124" s="42"/>
      <c r="F124" s="42"/>
    </row>
    <row r="125">
      <c r="A125" s="9"/>
      <c r="B125" s="42"/>
      <c r="C125" s="42"/>
      <c r="D125" s="42"/>
      <c r="E125" s="42"/>
      <c r="F125" s="42"/>
    </row>
    <row r="126">
      <c r="A126" s="9"/>
      <c r="B126" s="42"/>
      <c r="C126" s="42"/>
      <c r="D126" s="42"/>
      <c r="E126" s="42"/>
      <c r="F126" s="42"/>
    </row>
    <row r="127">
      <c r="A127" s="9"/>
      <c r="B127" s="42"/>
      <c r="C127" s="42"/>
      <c r="D127" s="42"/>
      <c r="E127" s="42"/>
      <c r="F127" s="42"/>
    </row>
    <row r="128">
      <c r="A128" s="9"/>
      <c r="B128" s="42"/>
      <c r="C128" s="42"/>
      <c r="D128" s="42"/>
      <c r="E128" s="42"/>
      <c r="F128" s="42"/>
    </row>
    <row r="129">
      <c r="A129" s="9"/>
      <c r="B129" s="42"/>
      <c r="C129" s="42"/>
      <c r="D129" s="42"/>
      <c r="E129" s="42"/>
      <c r="F129" s="42"/>
    </row>
    <row r="130">
      <c r="A130" s="9"/>
      <c r="B130" s="42"/>
      <c r="C130" s="42"/>
      <c r="D130" s="42"/>
      <c r="E130" s="42"/>
      <c r="F130" s="42"/>
    </row>
    <row r="131">
      <c r="A131" s="9"/>
      <c r="B131" s="42"/>
      <c r="C131" s="42"/>
      <c r="D131" s="42"/>
      <c r="E131" s="42"/>
      <c r="F131" s="42"/>
    </row>
    <row r="132">
      <c r="A132" s="9"/>
      <c r="B132" s="42"/>
      <c r="C132" s="42"/>
      <c r="D132" s="42"/>
      <c r="E132" s="42"/>
      <c r="F132" s="42"/>
    </row>
    <row r="133">
      <c r="A133" s="9"/>
      <c r="B133" s="42"/>
      <c r="C133" s="42"/>
      <c r="D133" s="42"/>
      <c r="E133" s="42"/>
      <c r="F133" s="42"/>
    </row>
    <row r="134">
      <c r="A134" s="9"/>
      <c r="B134" s="42"/>
      <c r="C134" s="42"/>
      <c r="D134" s="42"/>
      <c r="E134" s="42"/>
      <c r="F134" s="42"/>
    </row>
    <row r="135">
      <c r="A135" s="9"/>
      <c r="B135" s="42"/>
      <c r="C135" s="42"/>
      <c r="D135" s="42"/>
      <c r="E135" s="42"/>
      <c r="F135" s="42"/>
    </row>
    <row r="136">
      <c r="A136" s="9"/>
      <c r="B136" s="42"/>
      <c r="C136" s="42"/>
      <c r="D136" s="42"/>
      <c r="E136" s="42"/>
      <c r="F136" s="42"/>
    </row>
    <row r="137">
      <c r="A137" s="9"/>
      <c r="B137" s="42"/>
      <c r="C137" s="42"/>
      <c r="D137" s="42"/>
      <c r="E137" s="42"/>
      <c r="F137" s="42"/>
    </row>
    <row r="138">
      <c r="A138" s="9"/>
      <c r="B138" s="42"/>
      <c r="C138" s="42"/>
      <c r="D138" s="42"/>
      <c r="E138" s="42"/>
      <c r="F138" s="42"/>
    </row>
    <row r="139">
      <c r="A139" s="9"/>
      <c r="B139" s="42"/>
      <c r="C139" s="42"/>
      <c r="D139" s="42"/>
      <c r="E139" s="42"/>
      <c r="F139" s="42"/>
    </row>
    <row r="140">
      <c r="A140" s="9"/>
      <c r="B140" s="42"/>
      <c r="C140" s="42"/>
      <c r="D140" s="42"/>
      <c r="E140" s="42"/>
      <c r="F140" s="42"/>
    </row>
    <row r="141">
      <c r="A141" s="9"/>
      <c r="B141" s="42"/>
      <c r="C141" s="42"/>
      <c r="D141" s="42"/>
      <c r="E141" s="42"/>
      <c r="F141" s="42"/>
    </row>
    <row r="142">
      <c r="A142" s="9"/>
      <c r="B142" s="42"/>
      <c r="C142" s="42"/>
      <c r="D142" s="42"/>
      <c r="E142" s="42"/>
      <c r="F142" s="42"/>
    </row>
    <row r="143">
      <c r="A143" s="9"/>
      <c r="B143" s="42"/>
      <c r="C143" s="42"/>
      <c r="D143" s="42"/>
      <c r="E143" s="42"/>
      <c r="F143" s="42"/>
    </row>
    <row r="144">
      <c r="A144" s="9"/>
      <c r="B144" s="42"/>
      <c r="C144" s="42"/>
      <c r="D144" s="42"/>
      <c r="E144" s="42"/>
      <c r="F144" s="42"/>
    </row>
    <row r="145">
      <c r="A145" s="9"/>
      <c r="B145" s="42"/>
      <c r="C145" s="42"/>
      <c r="D145" s="42"/>
      <c r="E145" s="42"/>
      <c r="F145" s="42"/>
    </row>
    <row r="146">
      <c r="A146" s="9"/>
      <c r="B146" s="42"/>
      <c r="C146" s="42"/>
      <c r="D146" s="42"/>
      <c r="E146" s="42"/>
      <c r="F146" s="42"/>
    </row>
    <row r="147">
      <c r="A147" s="9"/>
      <c r="B147" s="42"/>
      <c r="C147" s="42"/>
      <c r="D147" s="42"/>
      <c r="E147" s="42"/>
      <c r="F147" s="42"/>
    </row>
    <row r="148">
      <c r="A148" s="9"/>
      <c r="B148" s="42"/>
      <c r="C148" s="42"/>
      <c r="D148" s="42"/>
      <c r="E148" s="42"/>
      <c r="F148" s="42"/>
    </row>
    <row r="149">
      <c r="A149" s="9"/>
      <c r="B149" s="42"/>
      <c r="C149" s="42"/>
      <c r="D149" s="42"/>
      <c r="E149" s="42"/>
      <c r="F149" s="42"/>
    </row>
    <row r="150">
      <c r="A150" s="9"/>
      <c r="B150" s="42"/>
      <c r="C150" s="42"/>
      <c r="D150" s="42"/>
      <c r="E150" s="42"/>
      <c r="F150" s="42"/>
    </row>
    <row r="151">
      <c r="A151" s="9"/>
      <c r="B151" s="42"/>
      <c r="C151" s="42"/>
      <c r="D151" s="42"/>
      <c r="E151" s="42"/>
      <c r="F151" s="42"/>
    </row>
    <row r="152">
      <c r="A152" s="9"/>
      <c r="B152" s="42"/>
      <c r="C152" s="42"/>
      <c r="D152" s="42"/>
      <c r="E152" s="42"/>
      <c r="F152" s="42"/>
    </row>
    <row r="153">
      <c r="A153" s="9"/>
      <c r="B153" s="42"/>
      <c r="C153" s="42"/>
      <c r="D153" s="42"/>
      <c r="E153" s="42"/>
      <c r="F153" s="42"/>
    </row>
    <row r="154">
      <c r="A154" s="9"/>
      <c r="B154" s="42"/>
      <c r="C154" s="42"/>
      <c r="D154" s="42"/>
      <c r="E154" s="42"/>
      <c r="F154" s="42"/>
    </row>
    <row r="155">
      <c r="A155" s="9"/>
      <c r="B155" s="42"/>
      <c r="C155" s="42"/>
      <c r="D155" s="42"/>
      <c r="E155" s="42"/>
      <c r="F155" s="42"/>
    </row>
    <row r="156">
      <c r="A156" s="9"/>
      <c r="B156" s="42"/>
      <c r="C156" s="42"/>
      <c r="D156" s="42"/>
      <c r="E156" s="42"/>
      <c r="F156" s="42"/>
    </row>
    <row r="157">
      <c r="A157" s="9"/>
      <c r="B157" s="42"/>
      <c r="C157" s="42"/>
      <c r="D157" s="42"/>
      <c r="E157" s="42"/>
      <c r="F157" s="42"/>
    </row>
    <row r="158">
      <c r="A158" s="9"/>
      <c r="B158" s="42"/>
      <c r="C158" s="42"/>
      <c r="D158" s="42"/>
      <c r="E158" s="42"/>
      <c r="F158" s="42"/>
    </row>
    <row r="159">
      <c r="A159" s="9"/>
      <c r="B159" s="42"/>
      <c r="C159" s="42"/>
      <c r="D159" s="42"/>
      <c r="E159" s="42"/>
      <c r="F159" s="42"/>
    </row>
    <row r="160">
      <c r="A160" s="9"/>
      <c r="B160" s="42"/>
      <c r="C160" s="42"/>
      <c r="D160" s="42"/>
      <c r="E160" s="42"/>
      <c r="F160" s="42"/>
    </row>
    <row r="161">
      <c r="A161" s="9"/>
      <c r="B161" s="42"/>
      <c r="C161" s="42"/>
      <c r="D161" s="42"/>
      <c r="E161" s="42"/>
      <c r="F161" s="42"/>
    </row>
    <row r="162">
      <c r="A162" s="9"/>
      <c r="B162" s="42"/>
      <c r="C162" s="42"/>
      <c r="D162" s="42"/>
      <c r="E162" s="42"/>
      <c r="F162" s="42"/>
    </row>
    <row r="163">
      <c r="A163" s="9"/>
      <c r="B163" s="42"/>
      <c r="C163" s="42"/>
      <c r="D163" s="42"/>
      <c r="E163" s="42"/>
      <c r="F163" s="42"/>
    </row>
    <row r="164">
      <c r="A164" s="9"/>
      <c r="B164" s="42"/>
      <c r="C164" s="42"/>
      <c r="D164" s="42"/>
      <c r="E164" s="42"/>
      <c r="F164" s="42"/>
    </row>
    <row r="165">
      <c r="A165" s="9"/>
      <c r="B165" s="42"/>
      <c r="C165" s="42"/>
      <c r="D165" s="42"/>
      <c r="E165" s="42"/>
      <c r="F165" s="42"/>
    </row>
    <row r="166">
      <c r="A166" s="9"/>
      <c r="B166" s="42"/>
      <c r="C166" s="42"/>
      <c r="D166" s="42"/>
      <c r="E166" s="42"/>
      <c r="F166" s="42"/>
    </row>
    <row r="167">
      <c r="A167" s="9"/>
      <c r="B167" s="42"/>
      <c r="C167" s="42"/>
      <c r="D167" s="42"/>
      <c r="E167" s="42"/>
      <c r="F167" s="42"/>
    </row>
    <row r="168">
      <c r="A168" s="9"/>
      <c r="B168" s="42"/>
      <c r="C168" s="42"/>
      <c r="D168" s="42"/>
      <c r="E168" s="42"/>
      <c r="F168" s="42"/>
    </row>
    <row r="169">
      <c r="A169" s="9"/>
      <c r="B169" s="42"/>
      <c r="C169" s="42"/>
      <c r="D169" s="42"/>
      <c r="E169" s="42"/>
      <c r="F169" s="42"/>
    </row>
    <row r="170">
      <c r="A170" s="9"/>
      <c r="B170" s="42"/>
      <c r="C170" s="42"/>
      <c r="D170" s="42"/>
      <c r="E170" s="42"/>
      <c r="F170" s="42"/>
    </row>
    <row r="171">
      <c r="A171" s="9"/>
      <c r="B171" s="42"/>
      <c r="C171" s="42"/>
      <c r="D171" s="42"/>
      <c r="E171" s="42"/>
      <c r="F171" s="42"/>
    </row>
    <row r="172">
      <c r="A172" s="9"/>
      <c r="B172" s="42"/>
      <c r="C172" s="42"/>
      <c r="D172" s="42"/>
      <c r="E172" s="42"/>
      <c r="F172" s="42"/>
    </row>
    <row r="173">
      <c r="A173" s="9"/>
      <c r="B173" s="42"/>
      <c r="C173" s="42"/>
      <c r="D173" s="42"/>
      <c r="E173" s="42"/>
      <c r="F173" s="42"/>
    </row>
    <row r="174">
      <c r="A174" s="9"/>
      <c r="B174" s="42"/>
      <c r="C174" s="42"/>
      <c r="D174" s="42"/>
      <c r="E174" s="42"/>
      <c r="F174" s="42"/>
    </row>
    <row r="175">
      <c r="A175" s="9"/>
      <c r="B175" s="42"/>
      <c r="C175" s="42"/>
      <c r="D175" s="42"/>
      <c r="E175" s="42"/>
      <c r="F175" s="42"/>
    </row>
    <row r="176">
      <c r="A176" s="9"/>
      <c r="B176" s="42"/>
      <c r="C176" s="42"/>
      <c r="D176" s="42"/>
      <c r="E176" s="42"/>
      <c r="F176" s="42"/>
    </row>
    <row r="177">
      <c r="A177" s="9"/>
      <c r="B177" s="42"/>
      <c r="C177" s="42"/>
      <c r="D177" s="42"/>
      <c r="E177" s="42"/>
      <c r="F177" s="42"/>
    </row>
    <row r="178">
      <c r="A178" s="9"/>
      <c r="B178" s="42"/>
      <c r="C178" s="42"/>
      <c r="D178" s="42"/>
      <c r="E178" s="42"/>
      <c r="F178" s="42"/>
    </row>
    <row r="179">
      <c r="A179" s="9"/>
      <c r="B179" s="42"/>
      <c r="C179" s="42"/>
      <c r="D179" s="42"/>
      <c r="E179" s="42"/>
      <c r="F179" s="42"/>
    </row>
    <row r="180">
      <c r="A180" s="9"/>
      <c r="B180" s="42"/>
      <c r="C180" s="42"/>
      <c r="D180" s="42"/>
      <c r="E180" s="42"/>
      <c r="F180" s="42"/>
    </row>
    <row r="181">
      <c r="A181" s="9"/>
      <c r="B181" s="42"/>
      <c r="C181" s="42"/>
      <c r="D181" s="42"/>
      <c r="E181" s="42"/>
      <c r="F181" s="42"/>
    </row>
    <row r="182">
      <c r="A182" s="9"/>
      <c r="B182" s="42"/>
      <c r="C182" s="42"/>
      <c r="D182" s="42"/>
      <c r="E182" s="42"/>
      <c r="F182" s="42"/>
    </row>
    <row r="183">
      <c r="A183" s="9"/>
      <c r="B183" s="42"/>
      <c r="C183" s="42"/>
      <c r="D183" s="42"/>
      <c r="E183" s="42"/>
      <c r="F183" s="42"/>
    </row>
    <row r="184">
      <c r="A184" s="9"/>
      <c r="B184" s="42"/>
      <c r="C184" s="42"/>
      <c r="D184" s="42"/>
      <c r="E184" s="42"/>
      <c r="F184" s="42"/>
    </row>
    <row r="185">
      <c r="A185" s="9"/>
      <c r="B185" s="42"/>
      <c r="C185" s="42"/>
      <c r="D185" s="42"/>
      <c r="E185" s="42"/>
      <c r="F185" s="42"/>
    </row>
    <row r="186">
      <c r="A186" s="9"/>
      <c r="B186" s="42"/>
      <c r="C186" s="42"/>
      <c r="D186" s="42"/>
      <c r="E186" s="42"/>
      <c r="F186" s="42"/>
    </row>
    <row r="187">
      <c r="A187" s="9"/>
      <c r="B187" s="42"/>
      <c r="C187" s="42"/>
      <c r="D187" s="42"/>
      <c r="E187" s="42"/>
      <c r="F187" s="42"/>
    </row>
    <row r="188">
      <c r="A188" s="9"/>
      <c r="B188" s="42"/>
      <c r="C188" s="42"/>
      <c r="D188" s="42"/>
      <c r="E188" s="42"/>
      <c r="F188" s="42"/>
    </row>
    <row r="189">
      <c r="A189" s="9"/>
      <c r="B189" s="42"/>
      <c r="C189" s="42"/>
      <c r="D189" s="42"/>
      <c r="E189" s="42"/>
      <c r="F189" s="42"/>
    </row>
    <row r="190">
      <c r="A190" s="9"/>
      <c r="B190" s="42"/>
      <c r="C190" s="42"/>
      <c r="D190" s="42"/>
      <c r="E190" s="42"/>
      <c r="F190" s="42"/>
    </row>
    <row r="191">
      <c r="A191" s="9"/>
      <c r="B191" s="42"/>
      <c r="C191" s="42"/>
      <c r="D191" s="42"/>
      <c r="E191" s="42"/>
      <c r="F191" s="42"/>
    </row>
    <row r="192">
      <c r="A192" s="9"/>
      <c r="B192" s="42"/>
      <c r="C192" s="42"/>
      <c r="D192" s="42"/>
      <c r="E192" s="42"/>
      <c r="F192" s="42"/>
    </row>
    <row r="193">
      <c r="A193" s="9"/>
      <c r="B193" s="42"/>
      <c r="C193" s="42"/>
      <c r="D193" s="42"/>
      <c r="E193" s="42"/>
      <c r="F193" s="42"/>
    </row>
    <row r="194">
      <c r="A194" s="9"/>
      <c r="B194" s="42"/>
      <c r="C194" s="42"/>
      <c r="D194" s="42"/>
      <c r="E194" s="42"/>
      <c r="F194" s="42"/>
    </row>
    <row r="195">
      <c r="A195" s="9"/>
      <c r="B195" s="42"/>
      <c r="C195" s="42"/>
      <c r="D195" s="42"/>
      <c r="E195" s="42"/>
      <c r="F195" s="42"/>
    </row>
    <row r="196">
      <c r="A196" s="9"/>
      <c r="B196" s="42"/>
      <c r="C196" s="42"/>
      <c r="D196" s="42"/>
      <c r="E196" s="42"/>
      <c r="F196" s="42"/>
    </row>
    <row r="197">
      <c r="A197" s="9"/>
      <c r="B197" s="42"/>
      <c r="C197" s="42"/>
      <c r="D197" s="42"/>
      <c r="E197" s="42"/>
      <c r="F197" s="42"/>
    </row>
    <row r="198">
      <c r="A198" s="9"/>
      <c r="B198" s="42"/>
      <c r="C198" s="42"/>
      <c r="D198" s="42"/>
      <c r="E198" s="42"/>
      <c r="F198" s="42"/>
    </row>
    <row r="199">
      <c r="A199" s="9"/>
      <c r="B199" s="42"/>
      <c r="C199" s="42"/>
      <c r="D199" s="42"/>
      <c r="E199" s="42"/>
      <c r="F199" s="42"/>
    </row>
    <row r="200">
      <c r="A200" s="9"/>
      <c r="B200" s="42"/>
      <c r="C200" s="42"/>
      <c r="D200" s="42"/>
      <c r="E200" s="42"/>
      <c r="F200" s="42"/>
    </row>
    <row r="201">
      <c r="A201" s="9"/>
      <c r="B201" s="42"/>
      <c r="C201" s="42"/>
      <c r="D201" s="42"/>
      <c r="E201" s="42"/>
      <c r="F201" s="42"/>
    </row>
    <row r="202">
      <c r="A202" s="9"/>
      <c r="B202" s="42"/>
      <c r="C202" s="42"/>
      <c r="D202" s="42"/>
      <c r="E202" s="42"/>
      <c r="F202" s="42"/>
    </row>
    <row r="203">
      <c r="A203" s="9"/>
      <c r="B203" s="42"/>
      <c r="C203" s="42"/>
      <c r="D203" s="42"/>
      <c r="E203" s="42"/>
      <c r="F203" s="42"/>
    </row>
    <row r="204">
      <c r="A204" s="9"/>
      <c r="B204" s="42"/>
      <c r="C204" s="42"/>
      <c r="D204" s="42"/>
      <c r="E204" s="42"/>
      <c r="F204" s="42"/>
    </row>
    <row r="205">
      <c r="A205" s="9"/>
      <c r="B205" s="42"/>
      <c r="C205" s="42"/>
      <c r="D205" s="42"/>
      <c r="E205" s="42"/>
      <c r="F205" s="42"/>
    </row>
    <row r="206">
      <c r="A206" s="9"/>
      <c r="B206" s="42"/>
      <c r="C206" s="42"/>
      <c r="D206" s="42"/>
      <c r="E206" s="42"/>
      <c r="F206" s="42"/>
    </row>
    <row r="207">
      <c r="A207" s="9"/>
      <c r="B207" s="42"/>
      <c r="C207" s="42"/>
      <c r="D207" s="42"/>
      <c r="E207" s="42"/>
      <c r="F207" s="42"/>
    </row>
    <row r="208">
      <c r="A208" s="9"/>
      <c r="B208" s="42"/>
      <c r="C208" s="42"/>
      <c r="D208" s="42"/>
      <c r="E208" s="42"/>
      <c r="F208" s="42"/>
    </row>
    <row r="209">
      <c r="A209" s="9"/>
      <c r="B209" s="42"/>
      <c r="C209" s="42"/>
      <c r="D209" s="42"/>
      <c r="E209" s="42"/>
      <c r="F209" s="42"/>
    </row>
    <row r="210">
      <c r="A210" s="9"/>
      <c r="B210" s="42"/>
      <c r="C210" s="42"/>
      <c r="D210" s="42"/>
      <c r="E210" s="42"/>
      <c r="F210" s="42"/>
    </row>
    <row r="211">
      <c r="A211" s="9"/>
      <c r="B211" s="42"/>
      <c r="C211" s="42"/>
      <c r="D211" s="42"/>
      <c r="E211" s="42"/>
      <c r="F211" s="42"/>
    </row>
    <row r="212">
      <c r="A212" s="9"/>
      <c r="B212" s="42"/>
      <c r="C212" s="42"/>
      <c r="D212" s="42"/>
      <c r="E212" s="42"/>
      <c r="F212" s="42"/>
    </row>
    <row r="213">
      <c r="A213" s="9"/>
      <c r="B213" s="42"/>
      <c r="C213" s="42"/>
      <c r="D213" s="42"/>
      <c r="E213" s="42"/>
      <c r="F213" s="42"/>
    </row>
    <row r="214">
      <c r="A214" s="9"/>
      <c r="B214" s="42"/>
      <c r="C214" s="42"/>
      <c r="D214" s="42"/>
      <c r="E214" s="42"/>
      <c r="F214" s="42"/>
    </row>
    <row r="215">
      <c r="A215" s="9"/>
      <c r="B215" s="42"/>
      <c r="C215" s="42"/>
      <c r="D215" s="42"/>
      <c r="E215" s="42"/>
      <c r="F215" s="42"/>
    </row>
    <row r="216">
      <c r="A216" s="9"/>
      <c r="B216" s="42"/>
      <c r="C216" s="42"/>
      <c r="D216" s="42"/>
      <c r="E216" s="42"/>
      <c r="F216" s="42"/>
    </row>
    <row r="217">
      <c r="A217" s="9"/>
      <c r="B217" s="42"/>
      <c r="C217" s="42"/>
      <c r="D217" s="42"/>
      <c r="E217" s="42"/>
      <c r="F217" s="42"/>
    </row>
    <row r="218">
      <c r="A218" s="9"/>
      <c r="B218" s="42"/>
      <c r="C218" s="42"/>
      <c r="D218" s="42"/>
      <c r="E218" s="42"/>
      <c r="F218" s="42"/>
    </row>
    <row r="219">
      <c r="A219" s="9"/>
      <c r="B219" s="42"/>
      <c r="C219" s="42"/>
      <c r="D219" s="42"/>
      <c r="E219" s="42"/>
      <c r="F219" s="42"/>
    </row>
    <row r="220">
      <c r="A220" s="9"/>
      <c r="B220" s="42"/>
      <c r="C220" s="42"/>
      <c r="D220" s="42"/>
      <c r="E220" s="42"/>
      <c r="F220" s="42"/>
    </row>
    <row r="221">
      <c r="A221" s="9"/>
      <c r="B221" s="42"/>
      <c r="C221" s="42"/>
      <c r="D221" s="42"/>
      <c r="E221" s="42"/>
      <c r="F221" s="42"/>
    </row>
    <row r="222">
      <c r="A222" s="9"/>
      <c r="B222" s="42"/>
      <c r="C222" s="42"/>
      <c r="D222" s="42"/>
      <c r="E222" s="42"/>
      <c r="F222" s="42"/>
    </row>
    <row r="223">
      <c r="A223" s="9"/>
      <c r="B223" s="42"/>
      <c r="C223" s="42"/>
      <c r="D223" s="42"/>
      <c r="E223" s="42"/>
      <c r="F223" s="42"/>
    </row>
    <row r="224">
      <c r="A224" s="9"/>
      <c r="B224" s="42"/>
      <c r="C224" s="42"/>
      <c r="D224" s="42"/>
      <c r="E224" s="42"/>
      <c r="F224" s="42"/>
    </row>
    <row r="225">
      <c r="A225" s="9"/>
      <c r="B225" s="42"/>
      <c r="C225" s="42"/>
      <c r="D225" s="42"/>
      <c r="E225" s="42"/>
      <c r="F225" s="42"/>
    </row>
    <row r="226">
      <c r="A226" s="9"/>
      <c r="B226" s="42"/>
      <c r="C226" s="42"/>
      <c r="D226" s="42"/>
      <c r="E226" s="42"/>
      <c r="F226" s="42"/>
    </row>
    <row r="227">
      <c r="A227" s="9"/>
      <c r="B227" s="42"/>
      <c r="C227" s="42"/>
      <c r="D227" s="42"/>
      <c r="E227" s="42"/>
      <c r="F227" s="42"/>
    </row>
    <row r="228">
      <c r="A228" s="9"/>
      <c r="B228" s="42"/>
      <c r="C228" s="42"/>
      <c r="D228" s="42"/>
      <c r="E228" s="42"/>
      <c r="F228" s="42"/>
    </row>
    <row r="229">
      <c r="A229" s="9"/>
      <c r="B229" s="42"/>
      <c r="C229" s="42"/>
      <c r="D229" s="42"/>
      <c r="E229" s="42"/>
      <c r="F229" s="42"/>
    </row>
    <row r="230">
      <c r="A230" s="9"/>
      <c r="B230" s="42"/>
      <c r="C230" s="42"/>
      <c r="D230" s="42"/>
      <c r="E230" s="42"/>
      <c r="F230" s="42"/>
    </row>
    <row r="231">
      <c r="A231" s="9"/>
      <c r="B231" s="42"/>
      <c r="C231" s="42"/>
      <c r="D231" s="42"/>
      <c r="E231" s="42"/>
      <c r="F231" s="42"/>
    </row>
    <row r="232">
      <c r="A232" s="9"/>
      <c r="B232" s="42"/>
      <c r="C232" s="42"/>
      <c r="D232" s="42"/>
      <c r="E232" s="42"/>
      <c r="F232" s="42"/>
    </row>
    <row r="233">
      <c r="A233" s="9"/>
      <c r="B233" s="42"/>
      <c r="C233" s="42"/>
      <c r="D233" s="42"/>
      <c r="E233" s="42"/>
      <c r="F233" s="42"/>
    </row>
    <row r="234">
      <c r="A234" s="9"/>
      <c r="B234" s="42"/>
      <c r="C234" s="42"/>
      <c r="D234" s="42"/>
      <c r="E234" s="42"/>
      <c r="F234" s="42"/>
    </row>
    <row r="235">
      <c r="A235" s="9"/>
      <c r="B235" s="42"/>
      <c r="C235" s="42"/>
      <c r="D235" s="42"/>
      <c r="E235" s="42"/>
      <c r="F235" s="42"/>
    </row>
    <row r="236">
      <c r="A236" s="9"/>
      <c r="B236" s="42"/>
      <c r="C236" s="42"/>
      <c r="D236" s="42"/>
      <c r="E236" s="42"/>
      <c r="F236" s="42"/>
    </row>
    <row r="237">
      <c r="A237" s="9"/>
      <c r="B237" s="42"/>
      <c r="C237" s="42"/>
      <c r="D237" s="42"/>
      <c r="E237" s="42"/>
      <c r="F237" s="42"/>
    </row>
    <row r="238">
      <c r="A238" s="9"/>
      <c r="B238" s="42"/>
      <c r="C238" s="42"/>
      <c r="D238" s="42"/>
      <c r="E238" s="42"/>
      <c r="F238" s="42"/>
    </row>
    <row r="239">
      <c r="A239" s="9"/>
      <c r="B239" s="42"/>
      <c r="C239" s="42"/>
      <c r="D239" s="42"/>
      <c r="E239" s="42"/>
      <c r="F239" s="42"/>
    </row>
    <row r="240">
      <c r="A240" s="9"/>
      <c r="B240" s="42"/>
      <c r="C240" s="42"/>
      <c r="D240" s="42"/>
      <c r="E240" s="42"/>
      <c r="F240" s="42"/>
    </row>
    <row r="241">
      <c r="A241" s="9"/>
      <c r="B241" s="42"/>
      <c r="C241" s="42"/>
      <c r="D241" s="42"/>
      <c r="E241" s="42"/>
      <c r="F241" s="42"/>
    </row>
    <row r="242">
      <c r="A242" s="9"/>
      <c r="B242" s="42"/>
      <c r="C242" s="42"/>
      <c r="D242" s="42"/>
      <c r="E242" s="42"/>
      <c r="F242" s="42"/>
    </row>
    <row r="243">
      <c r="A243" s="9"/>
      <c r="B243" s="42"/>
      <c r="C243" s="42"/>
      <c r="D243" s="42"/>
      <c r="E243" s="42"/>
      <c r="F243" s="42"/>
    </row>
    <row r="244">
      <c r="A244" s="9"/>
      <c r="B244" s="42"/>
      <c r="C244" s="42"/>
      <c r="D244" s="42"/>
      <c r="E244" s="42"/>
      <c r="F244" s="42"/>
    </row>
    <row r="245">
      <c r="A245" s="9"/>
      <c r="B245" s="42"/>
      <c r="C245" s="42"/>
      <c r="D245" s="42"/>
      <c r="E245" s="42"/>
      <c r="F245" s="42"/>
    </row>
    <row r="246">
      <c r="A246" s="9"/>
      <c r="B246" s="42"/>
      <c r="C246" s="42"/>
      <c r="D246" s="42"/>
      <c r="E246" s="42"/>
      <c r="F246" s="42"/>
    </row>
    <row r="247">
      <c r="A247" s="9"/>
      <c r="B247" s="42"/>
      <c r="C247" s="42"/>
      <c r="D247" s="42"/>
      <c r="E247" s="42"/>
      <c r="F247" s="42"/>
    </row>
    <row r="248">
      <c r="A248" s="9"/>
      <c r="B248" s="42"/>
      <c r="C248" s="42"/>
      <c r="D248" s="42"/>
      <c r="E248" s="42"/>
      <c r="F248" s="42"/>
    </row>
    <row r="249">
      <c r="A249" s="9"/>
      <c r="B249" s="42"/>
      <c r="C249" s="42"/>
      <c r="D249" s="42"/>
      <c r="E249" s="42"/>
      <c r="F249" s="42"/>
    </row>
    <row r="250">
      <c r="A250" s="9"/>
      <c r="B250" s="42"/>
      <c r="C250" s="42"/>
      <c r="D250" s="42"/>
      <c r="E250" s="42"/>
      <c r="F250" s="42"/>
    </row>
    <row r="251">
      <c r="A251" s="9"/>
      <c r="B251" s="42"/>
      <c r="C251" s="42"/>
      <c r="D251" s="42"/>
      <c r="E251" s="42"/>
      <c r="F251" s="42"/>
    </row>
    <row r="252">
      <c r="A252" s="9"/>
      <c r="B252" s="42"/>
      <c r="C252" s="42"/>
      <c r="D252" s="42"/>
      <c r="E252" s="42"/>
      <c r="F252" s="42"/>
    </row>
    <row r="253">
      <c r="A253" s="9"/>
      <c r="B253" s="42"/>
      <c r="C253" s="42"/>
      <c r="D253" s="42"/>
      <c r="E253" s="42"/>
      <c r="F253" s="42"/>
    </row>
    <row r="254">
      <c r="A254" s="9"/>
      <c r="B254" s="42"/>
      <c r="C254" s="42"/>
      <c r="D254" s="42"/>
      <c r="E254" s="42"/>
      <c r="F254" s="42"/>
    </row>
    <row r="255">
      <c r="A255" s="9"/>
      <c r="B255" s="42"/>
      <c r="C255" s="42"/>
      <c r="D255" s="42"/>
      <c r="E255" s="42"/>
      <c r="F255" s="42"/>
    </row>
    <row r="256">
      <c r="A256" s="9"/>
      <c r="B256" s="42"/>
      <c r="C256" s="42"/>
      <c r="D256" s="42"/>
      <c r="E256" s="42"/>
      <c r="F256" s="42"/>
    </row>
    <row r="257">
      <c r="A257" s="9"/>
      <c r="B257" s="42"/>
      <c r="C257" s="42"/>
      <c r="D257" s="42"/>
      <c r="E257" s="42"/>
      <c r="F257" s="42"/>
    </row>
    <row r="258">
      <c r="A258" s="9"/>
      <c r="B258" s="42"/>
      <c r="C258" s="42"/>
      <c r="D258" s="42"/>
      <c r="E258" s="42"/>
      <c r="F258" s="42"/>
    </row>
    <row r="259">
      <c r="A259" s="9"/>
      <c r="B259" s="42"/>
      <c r="C259" s="42"/>
      <c r="D259" s="42"/>
      <c r="E259" s="42"/>
      <c r="F259" s="42"/>
    </row>
    <row r="260">
      <c r="A260" s="9"/>
      <c r="B260" s="42"/>
      <c r="C260" s="42"/>
      <c r="D260" s="42"/>
      <c r="E260" s="42"/>
      <c r="F260" s="42"/>
    </row>
    <row r="261">
      <c r="A261" s="9"/>
      <c r="B261" s="42"/>
      <c r="C261" s="42"/>
      <c r="D261" s="42"/>
      <c r="E261" s="42"/>
      <c r="F261" s="42"/>
    </row>
    <row r="262">
      <c r="A262" s="9"/>
      <c r="B262" s="42"/>
      <c r="C262" s="42"/>
      <c r="D262" s="42"/>
      <c r="E262" s="42"/>
      <c r="F262" s="42"/>
    </row>
    <row r="263">
      <c r="A263" s="9"/>
      <c r="B263" s="42"/>
      <c r="C263" s="42"/>
      <c r="D263" s="42"/>
      <c r="E263" s="42"/>
      <c r="F263" s="42"/>
    </row>
    <row r="264">
      <c r="A264" s="9"/>
      <c r="B264" s="42"/>
      <c r="C264" s="42"/>
      <c r="D264" s="42"/>
      <c r="E264" s="42"/>
      <c r="F264" s="42"/>
    </row>
    <row r="265">
      <c r="A265" s="9"/>
      <c r="B265" s="42"/>
      <c r="C265" s="42"/>
      <c r="D265" s="42"/>
      <c r="E265" s="42"/>
      <c r="F265" s="42"/>
    </row>
    <row r="266">
      <c r="A266" s="9"/>
      <c r="B266" s="42"/>
      <c r="C266" s="42"/>
      <c r="D266" s="42"/>
      <c r="E266" s="42"/>
      <c r="F266" s="42"/>
    </row>
    <row r="267">
      <c r="A267" s="9"/>
      <c r="B267" s="42"/>
      <c r="C267" s="42"/>
      <c r="D267" s="42"/>
      <c r="E267" s="42"/>
      <c r="F267" s="42"/>
    </row>
    <row r="268">
      <c r="A268" s="9"/>
      <c r="B268" s="42"/>
      <c r="C268" s="42"/>
      <c r="D268" s="42"/>
      <c r="E268" s="42"/>
      <c r="F268" s="42"/>
    </row>
    <row r="269">
      <c r="A269" s="9"/>
      <c r="B269" s="42"/>
      <c r="C269" s="42"/>
      <c r="D269" s="42"/>
      <c r="E269" s="42"/>
      <c r="F269" s="42"/>
    </row>
    <row r="270">
      <c r="A270" s="9"/>
      <c r="B270" s="42"/>
      <c r="C270" s="42"/>
      <c r="D270" s="42"/>
      <c r="E270" s="42"/>
      <c r="F270" s="42"/>
    </row>
    <row r="271">
      <c r="A271" s="9"/>
      <c r="B271" s="42"/>
      <c r="C271" s="42"/>
      <c r="D271" s="42"/>
      <c r="E271" s="42"/>
      <c r="F271" s="42"/>
    </row>
    <row r="272">
      <c r="A272" s="9"/>
      <c r="B272" s="42"/>
      <c r="C272" s="42"/>
      <c r="D272" s="42"/>
      <c r="E272" s="42"/>
      <c r="F272" s="42"/>
    </row>
    <row r="273">
      <c r="A273" s="9"/>
      <c r="B273" s="42"/>
      <c r="C273" s="42"/>
      <c r="D273" s="42"/>
      <c r="E273" s="42"/>
      <c r="F273" s="42"/>
    </row>
    <row r="274">
      <c r="A274" s="9"/>
      <c r="B274" s="42"/>
      <c r="C274" s="42"/>
      <c r="D274" s="42"/>
      <c r="E274" s="42"/>
      <c r="F274" s="42"/>
    </row>
    <row r="275">
      <c r="A275" s="9"/>
      <c r="B275" s="42"/>
      <c r="C275" s="42"/>
      <c r="D275" s="42"/>
      <c r="E275" s="42"/>
      <c r="F275" s="42"/>
    </row>
    <row r="276">
      <c r="A276" s="9"/>
      <c r="B276" s="42"/>
      <c r="C276" s="42"/>
      <c r="D276" s="42"/>
      <c r="E276" s="42"/>
      <c r="F276" s="42"/>
    </row>
    <row r="277">
      <c r="A277" s="9"/>
      <c r="B277" s="42"/>
      <c r="C277" s="42"/>
      <c r="D277" s="42"/>
      <c r="E277" s="42"/>
      <c r="F277" s="42"/>
    </row>
    <row r="278">
      <c r="A278" s="9"/>
      <c r="B278" s="42"/>
      <c r="C278" s="42"/>
      <c r="D278" s="42"/>
      <c r="E278" s="42"/>
      <c r="F278" s="42"/>
    </row>
    <row r="279">
      <c r="A279" s="9"/>
      <c r="B279" s="42"/>
      <c r="C279" s="42"/>
      <c r="D279" s="42"/>
      <c r="E279" s="42"/>
      <c r="F279" s="42"/>
    </row>
    <row r="280">
      <c r="A280" s="9"/>
      <c r="B280" s="42"/>
      <c r="C280" s="42"/>
      <c r="D280" s="42"/>
      <c r="E280" s="42"/>
      <c r="F280" s="42"/>
    </row>
    <row r="281">
      <c r="A281" s="9"/>
      <c r="B281" s="42"/>
      <c r="C281" s="42"/>
      <c r="D281" s="42"/>
      <c r="E281" s="42"/>
      <c r="F281" s="42"/>
    </row>
    <row r="282">
      <c r="A282" s="9"/>
      <c r="B282" s="42"/>
      <c r="C282" s="42"/>
      <c r="D282" s="42"/>
      <c r="E282" s="42"/>
      <c r="F282" s="42"/>
    </row>
    <row r="283">
      <c r="A283" s="9"/>
      <c r="B283" s="42"/>
      <c r="C283" s="42"/>
      <c r="D283" s="42"/>
      <c r="E283" s="42"/>
      <c r="F283" s="42"/>
    </row>
    <row r="284">
      <c r="A284" s="9"/>
      <c r="B284" s="42"/>
      <c r="C284" s="42"/>
      <c r="D284" s="42"/>
      <c r="E284" s="42"/>
      <c r="F284" s="42"/>
    </row>
    <row r="285">
      <c r="A285" s="9"/>
      <c r="B285" s="42"/>
      <c r="C285" s="42"/>
      <c r="D285" s="42"/>
      <c r="E285" s="42"/>
      <c r="F285" s="42"/>
    </row>
    <row r="286">
      <c r="A286" s="9"/>
      <c r="B286" s="42"/>
      <c r="C286" s="42"/>
      <c r="D286" s="42"/>
      <c r="E286" s="42"/>
      <c r="F286" s="42"/>
    </row>
    <row r="287">
      <c r="A287" s="9"/>
      <c r="B287" s="42"/>
      <c r="C287" s="42"/>
      <c r="D287" s="42"/>
      <c r="E287" s="42"/>
      <c r="F287" s="42"/>
    </row>
    <row r="288">
      <c r="A288" s="9"/>
      <c r="B288" s="42"/>
      <c r="C288" s="42"/>
      <c r="D288" s="42"/>
      <c r="E288" s="42"/>
      <c r="F288" s="42"/>
    </row>
    <row r="289">
      <c r="A289" s="9"/>
      <c r="B289" s="42"/>
      <c r="C289" s="42"/>
      <c r="D289" s="42"/>
      <c r="E289" s="42"/>
      <c r="F289" s="42"/>
    </row>
    <row r="290">
      <c r="A290" s="9"/>
      <c r="B290" s="42"/>
      <c r="C290" s="42"/>
      <c r="D290" s="42"/>
      <c r="E290" s="42"/>
      <c r="F290" s="42"/>
    </row>
    <row r="291">
      <c r="A291" s="9"/>
      <c r="B291" s="42"/>
      <c r="C291" s="42"/>
      <c r="D291" s="42"/>
      <c r="E291" s="42"/>
      <c r="F291" s="42"/>
    </row>
    <row r="292">
      <c r="A292" s="9"/>
      <c r="B292" s="42"/>
      <c r="C292" s="42"/>
      <c r="D292" s="42"/>
      <c r="E292" s="42"/>
      <c r="F292" s="42"/>
    </row>
    <row r="293">
      <c r="A293" s="9"/>
      <c r="B293" s="42"/>
      <c r="C293" s="42"/>
      <c r="D293" s="42"/>
      <c r="E293" s="42"/>
      <c r="F293" s="42"/>
    </row>
    <row r="294">
      <c r="A294" s="9"/>
      <c r="B294" s="42"/>
      <c r="C294" s="42"/>
      <c r="D294" s="42"/>
      <c r="E294" s="42"/>
      <c r="F294" s="42"/>
    </row>
    <row r="295">
      <c r="A295" s="9"/>
      <c r="B295" s="42"/>
      <c r="C295" s="42"/>
      <c r="D295" s="42"/>
      <c r="E295" s="42"/>
      <c r="F295" s="42"/>
    </row>
    <row r="296">
      <c r="A296" s="9"/>
      <c r="B296" s="42"/>
      <c r="C296" s="42"/>
      <c r="D296" s="42"/>
      <c r="E296" s="42"/>
      <c r="F296" s="42"/>
    </row>
    <row r="297">
      <c r="A297" s="9"/>
      <c r="B297" s="42"/>
      <c r="C297" s="42"/>
      <c r="D297" s="42"/>
      <c r="E297" s="42"/>
      <c r="F297" s="42"/>
    </row>
    <row r="298">
      <c r="A298" s="9"/>
      <c r="B298" s="42"/>
      <c r="C298" s="42"/>
      <c r="D298" s="42"/>
      <c r="E298" s="42"/>
      <c r="F298" s="42"/>
    </row>
    <row r="299">
      <c r="A299" s="9"/>
      <c r="B299" s="42"/>
      <c r="C299" s="42"/>
      <c r="D299" s="42"/>
      <c r="E299" s="42"/>
      <c r="F299" s="42"/>
    </row>
    <row r="300">
      <c r="A300" s="9"/>
      <c r="B300" s="42"/>
      <c r="C300" s="42"/>
      <c r="D300" s="42"/>
      <c r="E300" s="42"/>
      <c r="F300" s="42"/>
    </row>
    <row r="301">
      <c r="A301" s="9"/>
      <c r="B301" s="42"/>
      <c r="C301" s="42"/>
      <c r="D301" s="42"/>
      <c r="E301" s="42"/>
      <c r="F301" s="42"/>
    </row>
    <row r="302">
      <c r="A302" s="9"/>
      <c r="B302" s="42"/>
      <c r="C302" s="42"/>
      <c r="D302" s="42"/>
      <c r="E302" s="42"/>
      <c r="F302" s="42"/>
    </row>
    <row r="303">
      <c r="A303" s="9"/>
      <c r="B303" s="42"/>
      <c r="C303" s="42"/>
      <c r="D303" s="42"/>
      <c r="E303" s="42"/>
      <c r="F303" s="42"/>
    </row>
    <row r="304">
      <c r="A304" s="9"/>
      <c r="B304" s="42"/>
      <c r="C304" s="42"/>
      <c r="D304" s="42"/>
      <c r="E304" s="42"/>
      <c r="F304" s="42"/>
    </row>
    <row r="305">
      <c r="A305" s="9"/>
      <c r="B305" s="42"/>
      <c r="C305" s="42"/>
      <c r="D305" s="42"/>
      <c r="E305" s="42"/>
      <c r="F305" s="42"/>
    </row>
    <row r="306">
      <c r="A306" s="9"/>
      <c r="B306" s="42"/>
      <c r="C306" s="42"/>
      <c r="D306" s="42"/>
      <c r="E306" s="42"/>
      <c r="F306" s="42"/>
    </row>
    <row r="307">
      <c r="A307" s="9"/>
      <c r="B307" s="42"/>
      <c r="C307" s="42"/>
      <c r="D307" s="42"/>
      <c r="E307" s="42"/>
      <c r="F307" s="42"/>
    </row>
    <row r="308">
      <c r="A308" s="9"/>
      <c r="B308" s="42"/>
      <c r="C308" s="42"/>
      <c r="D308" s="42"/>
      <c r="E308" s="42"/>
      <c r="F308" s="42"/>
    </row>
    <row r="309">
      <c r="A309" s="9"/>
      <c r="B309" s="42"/>
      <c r="C309" s="42"/>
      <c r="D309" s="42"/>
      <c r="E309" s="42"/>
      <c r="F309" s="42"/>
    </row>
    <row r="310">
      <c r="A310" s="9"/>
      <c r="B310" s="42"/>
      <c r="C310" s="42"/>
      <c r="D310" s="42"/>
      <c r="E310" s="42"/>
      <c r="F310" s="42"/>
    </row>
    <row r="311">
      <c r="A311" s="9"/>
      <c r="B311" s="42"/>
      <c r="C311" s="42"/>
      <c r="D311" s="42"/>
      <c r="E311" s="42"/>
      <c r="F311" s="42"/>
    </row>
    <row r="312">
      <c r="A312" s="9"/>
      <c r="B312" s="42"/>
      <c r="C312" s="42"/>
      <c r="D312" s="42"/>
      <c r="E312" s="42"/>
      <c r="F312" s="42"/>
    </row>
    <row r="313">
      <c r="A313" s="9"/>
      <c r="B313" s="42"/>
      <c r="C313" s="42"/>
      <c r="D313" s="42"/>
      <c r="E313" s="42"/>
      <c r="F313" s="42"/>
    </row>
    <row r="314">
      <c r="A314" s="9"/>
      <c r="B314" s="42"/>
      <c r="C314" s="42"/>
      <c r="D314" s="42"/>
      <c r="E314" s="42"/>
      <c r="F314" s="42"/>
    </row>
    <row r="315">
      <c r="A315" s="9"/>
      <c r="B315" s="42"/>
      <c r="C315" s="42"/>
      <c r="D315" s="42"/>
      <c r="E315" s="42"/>
      <c r="F315" s="42"/>
    </row>
    <row r="316">
      <c r="A316" s="9"/>
      <c r="B316" s="42"/>
      <c r="C316" s="42"/>
      <c r="D316" s="42"/>
      <c r="E316" s="42"/>
      <c r="F316" s="42"/>
    </row>
    <row r="317">
      <c r="A317" s="9"/>
      <c r="B317" s="42"/>
      <c r="C317" s="42"/>
      <c r="D317" s="42"/>
      <c r="E317" s="42"/>
      <c r="F317" s="42"/>
    </row>
    <row r="318">
      <c r="A318" s="9"/>
      <c r="B318" s="42"/>
      <c r="C318" s="42"/>
      <c r="D318" s="42"/>
      <c r="E318" s="42"/>
      <c r="F318" s="42"/>
    </row>
    <row r="319">
      <c r="A319" s="9"/>
      <c r="B319" s="42"/>
      <c r="C319" s="42"/>
      <c r="D319" s="42"/>
      <c r="E319" s="42"/>
      <c r="F319" s="42"/>
    </row>
    <row r="320">
      <c r="A320" s="9"/>
      <c r="B320" s="42"/>
      <c r="C320" s="42"/>
      <c r="D320" s="42"/>
      <c r="E320" s="42"/>
      <c r="F320" s="42"/>
    </row>
    <row r="321">
      <c r="A321" s="9"/>
      <c r="B321" s="42"/>
      <c r="C321" s="42"/>
      <c r="D321" s="42"/>
      <c r="E321" s="42"/>
      <c r="F321" s="42"/>
    </row>
    <row r="322">
      <c r="A322" s="9"/>
      <c r="B322" s="42"/>
      <c r="C322" s="42"/>
      <c r="D322" s="42"/>
      <c r="E322" s="42"/>
      <c r="F322" s="42"/>
    </row>
    <row r="323">
      <c r="A323" s="9"/>
      <c r="B323" s="42"/>
      <c r="C323" s="42"/>
      <c r="D323" s="42"/>
      <c r="E323" s="42"/>
      <c r="F323" s="42"/>
    </row>
    <row r="324">
      <c r="A324" s="9"/>
      <c r="B324" s="42"/>
      <c r="C324" s="42"/>
      <c r="D324" s="42"/>
      <c r="E324" s="42"/>
      <c r="F324" s="42"/>
    </row>
    <row r="325">
      <c r="A325" s="9"/>
      <c r="B325" s="42"/>
      <c r="C325" s="42"/>
      <c r="D325" s="42"/>
      <c r="E325" s="42"/>
      <c r="F325" s="42"/>
    </row>
    <row r="326">
      <c r="A326" s="9"/>
      <c r="B326" s="42"/>
      <c r="C326" s="42"/>
      <c r="D326" s="42"/>
      <c r="E326" s="42"/>
      <c r="F326" s="42"/>
    </row>
    <row r="327">
      <c r="A327" s="9"/>
      <c r="B327" s="42"/>
      <c r="C327" s="42"/>
      <c r="D327" s="42"/>
      <c r="E327" s="42"/>
      <c r="F327" s="42"/>
    </row>
    <row r="328">
      <c r="A328" s="9"/>
      <c r="B328" s="42"/>
      <c r="C328" s="42"/>
      <c r="D328" s="42"/>
      <c r="E328" s="42"/>
      <c r="F328" s="42"/>
    </row>
    <row r="329">
      <c r="A329" s="9"/>
      <c r="B329" s="42"/>
      <c r="C329" s="42"/>
      <c r="D329" s="42"/>
      <c r="E329" s="42"/>
      <c r="F329" s="42"/>
    </row>
    <row r="330">
      <c r="A330" s="9"/>
      <c r="B330" s="42"/>
      <c r="C330" s="42"/>
      <c r="D330" s="42"/>
      <c r="E330" s="42"/>
      <c r="F330" s="42"/>
    </row>
    <row r="331">
      <c r="A331" s="9"/>
      <c r="B331" s="42"/>
      <c r="C331" s="42"/>
      <c r="D331" s="42"/>
      <c r="E331" s="42"/>
      <c r="F331" s="42"/>
    </row>
    <row r="332">
      <c r="A332" s="9"/>
      <c r="B332" s="42"/>
      <c r="C332" s="42"/>
      <c r="D332" s="42"/>
      <c r="E332" s="42"/>
      <c r="F332" s="42"/>
    </row>
    <row r="333">
      <c r="A333" s="9"/>
      <c r="B333" s="42"/>
      <c r="C333" s="42"/>
      <c r="D333" s="42"/>
      <c r="E333" s="42"/>
      <c r="F333" s="42"/>
    </row>
    <row r="334">
      <c r="A334" s="9"/>
      <c r="B334" s="42"/>
      <c r="C334" s="42"/>
      <c r="D334" s="42"/>
      <c r="E334" s="42"/>
      <c r="F334" s="42"/>
    </row>
    <row r="335">
      <c r="A335" s="9"/>
      <c r="B335" s="42"/>
      <c r="C335" s="42"/>
      <c r="D335" s="42"/>
      <c r="E335" s="42"/>
      <c r="F335" s="42"/>
    </row>
    <row r="336">
      <c r="A336" s="9"/>
      <c r="B336" s="42"/>
      <c r="C336" s="42"/>
      <c r="D336" s="42"/>
      <c r="E336" s="42"/>
      <c r="F336" s="42"/>
    </row>
    <row r="337">
      <c r="A337" s="9"/>
      <c r="B337" s="42"/>
      <c r="C337" s="42"/>
      <c r="D337" s="42"/>
      <c r="E337" s="42"/>
      <c r="F337" s="42"/>
    </row>
    <row r="338">
      <c r="A338" s="9"/>
      <c r="B338" s="42"/>
      <c r="C338" s="42"/>
      <c r="D338" s="42"/>
      <c r="E338" s="42"/>
      <c r="F338" s="42"/>
    </row>
    <row r="339">
      <c r="A339" s="9"/>
      <c r="B339" s="42"/>
      <c r="C339" s="42"/>
      <c r="D339" s="42"/>
      <c r="E339" s="42"/>
      <c r="F339" s="42"/>
    </row>
    <row r="340">
      <c r="A340" s="9"/>
      <c r="B340" s="42"/>
      <c r="C340" s="42"/>
      <c r="D340" s="42"/>
      <c r="E340" s="42"/>
      <c r="F340" s="42"/>
    </row>
    <row r="341">
      <c r="A341" s="9"/>
      <c r="B341" s="42"/>
      <c r="C341" s="42"/>
      <c r="D341" s="42"/>
      <c r="E341" s="42"/>
      <c r="F341" s="42"/>
    </row>
    <row r="342">
      <c r="A342" s="9"/>
      <c r="B342" s="42"/>
      <c r="C342" s="42"/>
      <c r="D342" s="42"/>
      <c r="E342" s="42"/>
      <c r="F342" s="42"/>
    </row>
    <row r="343">
      <c r="A343" s="9"/>
      <c r="B343" s="42"/>
      <c r="C343" s="42"/>
      <c r="D343" s="42"/>
      <c r="E343" s="42"/>
      <c r="F343" s="42"/>
    </row>
    <row r="344">
      <c r="A344" s="9"/>
      <c r="B344" s="42"/>
      <c r="C344" s="42"/>
      <c r="D344" s="42"/>
      <c r="E344" s="42"/>
      <c r="F344" s="42"/>
    </row>
    <row r="345">
      <c r="A345" s="9"/>
      <c r="B345" s="42"/>
      <c r="C345" s="42"/>
      <c r="D345" s="42"/>
      <c r="E345" s="42"/>
      <c r="F345" s="42"/>
    </row>
    <row r="346">
      <c r="A346" s="9"/>
      <c r="B346" s="42"/>
      <c r="C346" s="42"/>
      <c r="D346" s="42"/>
      <c r="E346" s="42"/>
      <c r="F346" s="42"/>
    </row>
    <row r="347">
      <c r="A347" s="9"/>
      <c r="B347" s="42"/>
      <c r="C347" s="42"/>
      <c r="D347" s="42"/>
      <c r="E347" s="42"/>
      <c r="F347" s="42"/>
    </row>
    <row r="348">
      <c r="A348" s="9"/>
      <c r="B348" s="42"/>
      <c r="C348" s="42"/>
      <c r="D348" s="42"/>
      <c r="E348" s="42"/>
      <c r="F348" s="42"/>
    </row>
    <row r="349">
      <c r="A349" s="9"/>
      <c r="B349" s="42"/>
      <c r="C349" s="42"/>
      <c r="D349" s="42"/>
      <c r="E349" s="42"/>
      <c r="F349" s="42"/>
    </row>
    <row r="350">
      <c r="A350" s="9"/>
      <c r="B350" s="42"/>
      <c r="C350" s="42"/>
      <c r="D350" s="42"/>
      <c r="E350" s="42"/>
      <c r="F350" s="42"/>
    </row>
    <row r="351">
      <c r="A351" s="9"/>
      <c r="B351" s="42"/>
      <c r="C351" s="42"/>
      <c r="D351" s="42"/>
      <c r="E351" s="42"/>
      <c r="F351" s="42"/>
    </row>
    <row r="352">
      <c r="A352" s="9"/>
      <c r="B352" s="42"/>
      <c r="C352" s="42"/>
      <c r="D352" s="42"/>
      <c r="E352" s="42"/>
      <c r="F352" s="42"/>
    </row>
    <row r="353">
      <c r="A353" s="9"/>
      <c r="B353" s="42"/>
      <c r="C353" s="42"/>
      <c r="D353" s="42"/>
      <c r="E353" s="42"/>
      <c r="F353" s="42"/>
    </row>
    <row r="354">
      <c r="A354" s="9"/>
      <c r="B354" s="42"/>
      <c r="C354" s="42"/>
      <c r="D354" s="42"/>
      <c r="E354" s="42"/>
      <c r="F354" s="42"/>
    </row>
    <row r="355">
      <c r="A355" s="9"/>
      <c r="B355" s="42"/>
      <c r="C355" s="42"/>
      <c r="D355" s="42"/>
      <c r="E355" s="42"/>
      <c r="F355" s="42"/>
    </row>
    <row r="356">
      <c r="A356" s="9"/>
      <c r="B356" s="42"/>
      <c r="C356" s="42"/>
      <c r="D356" s="42"/>
      <c r="E356" s="42"/>
      <c r="F356" s="42"/>
    </row>
    <row r="357">
      <c r="A357" s="9"/>
      <c r="B357" s="42"/>
      <c r="C357" s="42"/>
      <c r="D357" s="42"/>
      <c r="E357" s="42"/>
      <c r="F357" s="42"/>
    </row>
    <row r="358">
      <c r="A358" s="9"/>
      <c r="B358" s="42"/>
      <c r="C358" s="42"/>
      <c r="D358" s="42"/>
      <c r="E358" s="42"/>
      <c r="F358" s="42"/>
    </row>
    <row r="359">
      <c r="A359" s="9"/>
      <c r="B359" s="42"/>
      <c r="C359" s="42"/>
      <c r="D359" s="42"/>
      <c r="E359" s="42"/>
      <c r="F359" s="42"/>
    </row>
    <row r="360">
      <c r="A360" s="9"/>
      <c r="B360" s="42"/>
      <c r="C360" s="42"/>
      <c r="D360" s="42"/>
      <c r="E360" s="42"/>
      <c r="F360" s="42"/>
    </row>
    <row r="361">
      <c r="A361" s="9"/>
      <c r="B361" s="42"/>
      <c r="C361" s="42"/>
      <c r="D361" s="42"/>
      <c r="E361" s="42"/>
      <c r="F361" s="42"/>
    </row>
    <row r="362">
      <c r="A362" s="9"/>
      <c r="B362" s="42"/>
      <c r="C362" s="42"/>
      <c r="D362" s="42"/>
      <c r="E362" s="42"/>
      <c r="F362" s="42"/>
    </row>
    <row r="363">
      <c r="A363" s="9"/>
      <c r="B363" s="42"/>
      <c r="C363" s="42"/>
      <c r="D363" s="42"/>
      <c r="E363" s="42"/>
      <c r="F363" s="42"/>
    </row>
    <row r="364">
      <c r="A364" s="9"/>
      <c r="B364" s="42"/>
      <c r="C364" s="42"/>
      <c r="D364" s="42"/>
      <c r="E364" s="42"/>
      <c r="F364" s="42"/>
    </row>
    <row r="365">
      <c r="A365" s="9"/>
      <c r="B365" s="42"/>
      <c r="C365" s="42"/>
      <c r="D365" s="42"/>
      <c r="E365" s="42"/>
      <c r="F365" s="42"/>
    </row>
    <row r="366">
      <c r="A366" s="9"/>
      <c r="B366" s="42"/>
      <c r="C366" s="42"/>
      <c r="D366" s="42"/>
      <c r="E366" s="42"/>
      <c r="F366" s="42"/>
    </row>
    <row r="367">
      <c r="A367" s="9"/>
      <c r="B367" s="42"/>
      <c r="C367" s="42"/>
      <c r="D367" s="42"/>
      <c r="E367" s="42"/>
      <c r="F367" s="42"/>
    </row>
    <row r="368">
      <c r="A368" s="9"/>
      <c r="B368" s="42"/>
      <c r="C368" s="42"/>
      <c r="D368" s="42"/>
      <c r="E368" s="42"/>
      <c r="F368" s="42"/>
    </row>
    <row r="369">
      <c r="A369" s="9"/>
      <c r="B369" s="42"/>
      <c r="C369" s="42"/>
      <c r="D369" s="42"/>
      <c r="E369" s="42"/>
      <c r="F369" s="42"/>
    </row>
    <row r="370">
      <c r="A370" s="9"/>
      <c r="B370" s="42"/>
      <c r="C370" s="42"/>
      <c r="D370" s="42"/>
      <c r="E370" s="42"/>
      <c r="F370" s="42"/>
    </row>
    <row r="371">
      <c r="A371" s="9"/>
      <c r="B371" s="42"/>
      <c r="C371" s="42"/>
      <c r="D371" s="42"/>
      <c r="E371" s="42"/>
      <c r="F371" s="42"/>
    </row>
    <row r="372">
      <c r="A372" s="9"/>
      <c r="B372" s="42"/>
      <c r="C372" s="42"/>
      <c r="D372" s="42"/>
      <c r="E372" s="42"/>
      <c r="F372" s="42"/>
    </row>
    <row r="373">
      <c r="A373" s="9"/>
      <c r="B373" s="42"/>
      <c r="C373" s="42"/>
      <c r="D373" s="42"/>
      <c r="E373" s="42"/>
      <c r="F373" s="42"/>
    </row>
    <row r="374">
      <c r="A374" s="9"/>
      <c r="B374" s="42"/>
      <c r="C374" s="42"/>
      <c r="D374" s="42"/>
      <c r="E374" s="42"/>
      <c r="F374" s="42"/>
    </row>
    <row r="375">
      <c r="A375" s="9"/>
      <c r="B375" s="42"/>
      <c r="C375" s="42"/>
      <c r="D375" s="42"/>
      <c r="E375" s="42"/>
      <c r="F375" s="42"/>
    </row>
    <row r="376">
      <c r="A376" s="9"/>
      <c r="B376" s="42"/>
      <c r="C376" s="42"/>
      <c r="D376" s="42"/>
      <c r="E376" s="42"/>
      <c r="F376" s="42"/>
    </row>
    <row r="377">
      <c r="A377" s="9"/>
      <c r="B377" s="42"/>
      <c r="C377" s="42"/>
      <c r="D377" s="42"/>
      <c r="E377" s="42"/>
      <c r="F377" s="42"/>
    </row>
    <row r="378">
      <c r="A378" s="9"/>
      <c r="B378" s="42"/>
      <c r="C378" s="42"/>
      <c r="D378" s="42"/>
      <c r="E378" s="42"/>
      <c r="F378" s="42"/>
    </row>
    <row r="379">
      <c r="A379" s="9"/>
      <c r="B379" s="42"/>
      <c r="C379" s="42"/>
      <c r="D379" s="42"/>
      <c r="E379" s="42"/>
      <c r="F379" s="42"/>
    </row>
    <row r="380">
      <c r="A380" s="9"/>
      <c r="B380" s="42"/>
      <c r="C380" s="42"/>
      <c r="D380" s="42"/>
      <c r="E380" s="42"/>
      <c r="F380" s="42"/>
    </row>
    <row r="381">
      <c r="A381" s="9"/>
      <c r="B381" s="42"/>
      <c r="C381" s="42"/>
      <c r="D381" s="42"/>
      <c r="E381" s="42"/>
      <c r="F381" s="42"/>
    </row>
    <row r="382">
      <c r="A382" s="9"/>
      <c r="B382" s="42"/>
      <c r="C382" s="42"/>
      <c r="D382" s="42"/>
      <c r="E382" s="42"/>
      <c r="F382" s="42"/>
    </row>
    <row r="383">
      <c r="A383" s="9"/>
      <c r="B383" s="42"/>
      <c r="C383" s="42"/>
      <c r="D383" s="42"/>
      <c r="E383" s="42"/>
      <c r="F383" s="42"/>
    </row>
    <row r="384">
      <c r="A384" s="9"/>
      <c r="B384" s="42"/>
      <c r="C384" s="42"/>
      <c r="D384" s="42"/>
      <c r="E384" s="42"/>
      <c r="F384" s="42"/>
    </row>
    <row r="385">
      <c r="A385" s="9"/>
      <c r="B385" s="42"/>
      <c r="C385" s="42"/>
      <c r="D385" s="42"/>
      <c r="E385" s="42"/>
      <c r="F385" s="42"/>
    </row>
    <row r="386">
      <c r="A386" s="9"/>
      <c r="B386" s="42"/>
      <c r="C386" s="42"/>
      <c r="D386" s="42"/>
      <c r="E386" s="42"/>
      <c r="F386" s="42"/>
    </row>
    <row r="387">
      <c r="A387" s="9"/>
      <c r="B387" s="42"/>
      <c r="C387" s="42"/>
      <c r="D387" s="42"/>
      <c r="E387" s="42"/>
      <c r="F387" s="42"/>
    </row>
    <row r="388">
      <c r="A388" s="9"/>
      <c r="B388" s="42"/>
      <c r="C388" s="42"/>
      <c r="D388" s="42"/>
      <c r="E388" s="42"/>
      <c r="F388" s="42"/>
    </row>
    <row r="389">
      <c r="A389" s="9"/>
      <c r="B389" s="42"/>
      <c r="C389" s="42"/>
      <c r="D389" s="42"/>
      <c r="E389" s="42"/>
      <c r="F389" s="42"/>
    </row>
    <row r="390">
      <c r="A390" s="9"/>
      <c r="B390" s="42"/>
      <c r="C390" s="42"/>
      <c r="D390" s="42"/>
      <c r="E390" s="42"/>
      <c r="F390" s="42"/>
    </row>
    <row r="391">
      <c r="A391" s="9"/>
      <c r="B391" s="42"/>
      <c r="C391" s="42"/>
      <c r="D391" s="42"/>
      <c r="E391" s="42"/>
      <c r="F391" s="42"/>
    </row>
    <row r="392">
      <c r="A392" s="9"/>
      <c r="B392" s="42"/>
      <c r="C392" s="42"/>
      <c r="D392" s="42"/>
      <c r="E392" s="42"/>
      <c r="F392" s="42"/>
    </row>
    <row r="393">
      <c r="A393" s="9"/>
      <c r="B393" s="42"/>
      <c r="C393" s="42"/>
      <c r="D393" s="42"/>
      <c r="E393" s="42"/>
      <c r="F393" s="42"/>
    </row>
    <row r="394">
      <c r="A394" s="9"/>
      <c r="B394" s="42"/>
      <c r="C394" s="42"/>
      <c r="D394" s="42"/>
      <c r="E394" s="42"/>
      <c r="F394" s="42"/>
    </row>
    <row r="395">
      <c r="A395" s="9"/>
      <c r="B395" s="42"/>
      <c r="C395" s="42"/>
      <c r="D395" s="42"/>
      <c r="E395" s="42"/>
      <c r="F395" s="42"/>
    </row>
    <row r="396">
      <c r="A396" s="9"/>
      <c r="B396" s="42"/>
      <c r="C396" s="42"/>
      <c r="D396" s="42"/>
      <c r="E396" s="42"/>
      <c r="F396" s="42"/>
    </row>
    <row r="397">
      <c r="A397" s="9"/>
      <c r="B397" s="42"/>
      <c r="C397" s="42"/>
      <c r="D397" s="42"/>
      <c r="E397" s="42"/>
      <c r="F397" s="42"/>
    </row>
    <row r="398">
      <c r="A398" s="9"/>
      <c r="B398" s="42"/>
      <c r="C398" s="42"/>
      <c r="D398" s="42"/>
      <c r="E398" s="42"/>
      <c r="F398" s="42"/>
    </row>
    <row r="399">
      <c r="A399" s="9"/>
      <c r="B399" s="42"/>
      <c r="C399" s="42"/>
      <c r="D399" s="42"/>
      <c r="E399" s="42"/>
      <c r="F399" s="42"/>
    </row>
    <row r="400">
      <c r="A400" s="9"/>
      <c r="B400" s="42"/>
      <c r="C400" s="42"/>
      <c r="D400" s="42"/>
      <c r="E400" s="42"/>
      <c r="F400" s="42"/>
    </row>
    <row r="401">
      <c r="A401" s="9"/>
      <c r="B401" s="42"/>
      <c r="C401" s="42"/>
      <c r="D401" s="42"/>
      <c r="E401" s="42"/>
      <c r="F401" s="42"/>
    </row>
    <row r="402">
      <c r="A402" s="9"/>
      <c r="B402" s="42"/>
      <c r="C402" s="42"/>
      <c r="D402" s="42"/>
      <c r="E402" s="42"/>
      <c r="F402" s="42"/>
    </row>
    <row r="403">
      <c r="A403" s="9"/>
      <c r="B403" s="42"/>
      <c r="C403" s="42"/>
      <c r="D403" s="42"/>
      <c r="E403" s="42"/>
      <c r="F403" s="42"/>
    </row>
    <row r="404">
      <c r="A404" s="9"/>
      <c r="B404" s="42"/>
      <c r="C404" s="42"/>
      <c r="D404" s="42"/>
      <c r="E404" s="42"/>
      <c r="F404" s="42"/>
    </row>
    <row r="405">
      <c r="A405" s="9"/>
      <c r="B405" s="42"/>
      <c r="C405" s="42"/>
      <c r="D405" s="42"/>
      <c r="E405" s="42"/>
      <c r="F405" s="42"/>
    </row>
    <row r="406">
      <c r="A406" s="9"/>
      <c r="B406" s="42"/>
      <c r="C406" s="42"/>
      <c r="D406" s="42"/>
      <c r="E406" s="42"/>
      <c r="F406" s="42"/>
    </row>
    <row r="407">
      <c r="A407" s="9"/>
      <c r="B407" s="42"/>
      <c r="C407" s="42"/>
      <c r="D407" s="42"/>
      <c r="E407" s="42"/>
      <c r="F407" s="42"/>
    </row>
    <row r="408">
      <c r="A408" s="9"/>
      <c r="B408" s="42"/>
      <c r="C408" s="42"/>
      <c r="D408" s="42"/>
      <c r="E408" s="42"/>
      <c r="F408" s="42"/>
    </row>
    <row r="409">
      <c r="A409" s="9"/>
      <c r="B409" s="42"/>
      <c r="C409" s="42"/>
      <c r="D409" s="42"/>
      <c r="E409" s="42"/>
      <c r="F409" s="42"/>
    </row>
    <row r="410">
      <c r="A410" s="9"/>
      <c r="B410" s="42"/>
      <c r="C410" s="42"/>
      <c r="D410" s="42"/>
      <c r="E410" s="42"/>
      <c r="F410" s="42"/>
    </row>
    <row r="411">
      <c r="A411" s="9"/>
      <c r="B411" s="42"/>
      <c r="C411" s="42"/>
      <c r="D411" s="42"/>
      <c r="E411" s="42"/>
      <c r="F411" s="42"/>
    </row>
    <row r="412">
      <c r="A412" s="9"/>
      <c r="B412" s="42"/>
      <c r="C412" s="42"/>
      <c r="D412" s="42"/>
      <c r="E412" s="42"/>
      <c r="F412" s="42"/>
    </row>
    <row r="413">
      <c r="A413" s="9"/>
      <c r="B413" s="42"/>
      <c r="C413" s="42"/>
      <c r="D413" s="42"/>
      <c r="E413" s="42"/>
      <c r="F413" s="42"/>
    </row>
    <row r="414">
      <c r="A414" s="9"/>
      <c r="B414" s="42"/>
      <c r="C414" s="42"/>
      <c r="D414" s="42"/>
      <c r="E414" s="42"/>
      <c r="F414" s="42"/>
    </row>
    <row r="415">
      <c r="A415" s="9"/>
      <c r="B415" s="42"/>
      <c r="C415" s="42"/>
      <c r="D415" s="42"/>
      <c r="E415" s="42"/>
      <c r="F415" s="42"/>
    </row>
    <row r="416">
      <c r="A416" s="9"/>
      <c r="B416" s="42"/>
      <c r="C416" s="42"/>
      <c r="D416" s="42"/>
      <c r="E416" s="42"/>
      <c r="F416" s="42"/>
    </row>
    <row r="417">
      <c r="A417" s="9"/>
      <c r="B417" s="42"/>
      <c r="C417" s="42"/>
      <c r="D417" s="42"/>
      <c r="E417" s="42"/>
      <c r="F417" s="42"/>
    </row>
    <row r="418">
      <c r="A418" s="9"/>
      <c r="B418" s="42"/>
      <c r="C418" s="42"/>
      <c r="D418" s="42"/>
      <c r="E418" s="42"/>
      <c r="F418" s="42"/>
    </row>
    <row r="419">
      <c r="A419" s="9"/>
      <c r="B419" s="42"/>
      <c r="C419" s="42"/>
      <c r="D419" s="42"/>
      <c r="E419" s="42"/>
      <c r="F419" s="42"/>
    </row>
    <row r="420">
      <c r="A420" s="9"/>
      <c r="B420" s="42"/>
      <c r="C420" s="42"/>
      <c r="D420" s="42"/>
      <c r="E420" s="42"/>
      <c r="F420" s="42"/>
    </row>
    <row r="421">
      <c r="A421" s="9"/>
      <c r="B421" s="42"/>
      <c r="C421" s="42"/>
      <c r="D421" s="42"/>
      <c r="E421" s="42"/>
      <c r="F421" s="42"/>
    </row>
    <row r="422">
      <c r="A422" s="9"/>
      <c r="B422" s="42"/>
      <c r="C422" s="42"/>
      <c r="D422" s="42"/>
      <c r="E422" s="42"/>
      <c r="F422" s="42"/>
    </row>
    <row r="423">
      <c r="A423" s="9"/>
      <c r="B423" s="42"/>
      <c r="C423" s="42"/>
      <c r="D423" s="42"/>
      <c r="E423" s="42"/>
      <c r="F423" s="42"/>
    </row>
    <row r="424">
      <c r="A424" s="9"/>
      <c r="B424" s="42"/>
      <c r="C424" s="42"/>
      <c r="D424" s="42"/>
      <c r="E424" s="42"/>
      <c r="F424" s="42"/>
    </row>
    <row r="425">
      <c r="A425" s="9"/>
      <c r="B425" s="42"/>
      <c r="C425" s="42"/>
      <c r="D425" s="42"/>
      <c r="E425" s="42"/>
      <c r="F425" s="42"/>
    </row>
    <row r="426">
      <c r="A426" s="9"/>
      <c r="B426" s="42"/>
      <c r="C426" s="42"/>
      <c r="D426" s="42"/>
      <c r="E426" s="42"/>
      <c r="F426" s="42"/>
    </row>
    <row r="427">
      <c r="A427" s="9"/>
      <c r="B427" s="42"/>
      <c r="C427" s="42"/>
      <c r="D427" s="42"/>
      <c r="E427" s="42"/>
      <c r="F427" s="42"/>
    </row>
    <row r="428">
      <c r="A428" s="9"/>
      <c r="B428" s="42"/>
      <c r="C428" s="42"/>
      <c r="D428" s="42"/>
      <c r="E428" s="42"/>
      <c r="F428" s="42"/>
    </row>
    <row r="429">
      <c r="A429" s="9"/>
      <c r="B429" s="42"/>
      <c r="C429" s="42"/>
      <c r="D429" s="42"/>
      <c r="E429" s="42"/>
      <c r="F429" s="42"/>
    </row>
    <row r="430">
      <c r="A430" s="9"/>
      <c r="B430" s="42"/>
      <c r="C430" s="42"/>
      <c r="D430" s="42"/>
      <c r="E430" s="42"/>
      <c r="F430" s="42"/>
    </row>
    <row r="431">
      <c r="A431" s="9"/>
      <c r="B431" s="42"/>
      <c r="C431" s="42"/>
      <c r="D431" s="42"/>
      <c r="E431" s="42"/>
      <c r="F431" s="42"/>
    </row>
    <row r="432">
      <c r="A432" s="9"/>
      <c r="B432" s="42"/>
      <c r="C432" s="42"/>
      <c r="D432" s="42"/>
      <c r="E432" s="42"/>
      <c r="F432" s="42"/>
    </row>
    <row r="433">
      <c r="A433" s="9"/>
      <c r="B433" s="42"/>
      <c r="C433" s="42"/>
      <c r="D433" s="42"/>
      <c r="E433" s="42"/>
      <c r="F433" s="42"/>
    </row>
    <row r="434">
      <c r="A434" s="9"/>
      <c r="B434" s="42"/>
      <c r="C434" s="42"/>
      <c r="D434" s="42"/>
      <c r="E434" s="42"/>
      <c r="F434" s="42"/>
    </row>
    <row r="435">
      <c r="A435" s="9"/>
      <c r="B435" s="42"/>
      <c r="C435" s="42"/>
      <c r="D435" s="42"/>
      <c r="E435" s="42"/>
      <c r="F435" s="42"/>
    </row>
    <row r="436">
      <c r="A436" s="9"/>
      <c r="B436" s="42"/>
      <c r="C436" s="42"/>
      <c r="D436" s="42"/>
      <c r="E436" s="42"/>
      <c r="F436" s="42"/>
    </row>
    <row r="437">
      <c r="A437" s="9"/>
      <c r="B437" s="42"/>
      <c r="C437" s="42"/>
      <c r="D437" s="42"/>
      <c r="E437" s="42"/>
      <c r="F437" s="42"/>
    </row>
    <row r="438">
      <c r="A438" s="9"/>
      <c r="B438" s="42"/>
      <c r="C438" s="42"/>
      <c r="D438" s="42"/>
      <c r="E438" s="42"/>
      <c r="F438" s="42"/>
    </row>
    <row r="439">
      <c r="A439" s="9"/>
      <c r="B439" s="42"/>
      <c r="C439" s="42"/>
      <c r="D439" s="42"/>
      <c r="E439" s="42"/>
      <c r="F439" s="42"/>
    </row>
    <row r="440">
      <c r="A440" s="9"/>
      <c r="B440" s="42"/>
      <c r="C440" s="42"/>
      <c r="D440" s="42"/>
      <c r="E440" s="42"/>
      <c r="F440" s="42"/>
    </row>
    <row r="441">
      <c r="A441" s="9"/>
      <c r="B441" s="42"/>
      <c r="C441" s="42"/>
      <c r="D441" s="42"/>
      <c r="E441" s="42"/>
      <c r="F441" s="42"/>
    </row>
    <row r="442">
      <c r="A442" s="9"/>
      <c r="B442" s="42"/>
      <c r="C442" s="42"/>
      <c r="D442" s="42"/>
      <c r="E442" s="42"/>
      <c r="F442" s="42"/>
    </row>
    <row r="443">
      <c r="A443" s="9"/>
      <c r="B443" s="42"/>
      <c r="C443" s="42"/>
      <c r="D443" s="42"/>
      <c r="E443" s="42"/>
      <c r="F443" s="42"/>
    </row>
    <row r="444">
      <c r="A444" s="9"/>
      <c r="B444" s="42"/>
      <c r="C444" s="42"/>
      <c r="D444" s="42"/>
      <c r="E444" s="42"/>
      <c r="F444" s="42"/>
    </row>
    <row r="445">
      <c r="A445" s="9"/>
      <c r="B445" s="42"/>
      <c r="C445" s="42"/>
      <c r="D445" s="42"/>
      <c r="E445" s="42"/>
      <c r="F445" s="42"/>
    </row>
    <row r="446">
      <c r="A446" s="9"/>
      <c r="B446" s="42"/>
      <c r="C446" s="42"/>
      <c r="D446" s="42"/>
      <c r="E446" s="42"/>
      <c r="F446" s="42"/>
    </row>
    <row r="447">
      <c r="A447" s="9"/>
      <c r="B447" s="42"/>
      <c r="C447" s="42"/>
      <c r="D447" s="42"/>
      <c r="E447" s="42"/>
      <c r="F447" s="42"/>
    </row>
    <row r="448">
      <c r="A448" s="9"/>
      <c r="B448" s="42"/>
      <c r="C448" s="42"/>
      <c r="D448" s="42"/>
      <c r="E448" s="42"/>
      <c r="F448" s="42"/>
    </row>
    <row r="449">
      <c r="A449" s="9"/>
      <c r="B449" s="42"/>
      <c r="C449" s="42"/>
      <c r="D449" s="42"/>
      <c r="E449" s="42"/>
      <c r="F449" s="42"/>
    </row>
    <row r="450">
      <c r="A450" s="9"/>
      <c r="B450" s="42"/>
      <c r="C450" s="42"/>
      <c r="D450" s="42"/>
      <c r="E450" s="42"/>
      <c r="F450" s="42"/>
    </row>
    <row r="451">
      <c r="A451" s="9"/>
      <c r="B451" s="42"/>
      <c r="C451" s="42"/>
      <c r="D451" s="42"/>
      <c r="E451" s="42"/>
      <c r="F451" s="42"/>
    </row>
    <row r="452">
      <c r="A452" s="9"/>
      <c r="B452" s="42"/>
      <c r="C452" s="42"/>
      <c r="D452" s="42"/>
      <c r="E452" s="42"/>
      <c r="F452" s="42"/>
    </row>
    <row r="453">
      <c r="A453" s="9"/>
      <c r="B453" s="42"/>
      <c r="C453" s="42"/>
      <c r="D453" s="42"/>
      <c r="E453" s="42"/>
      <c r="F453" s="42"/>
    </row>
    <row r="454">
      <c r="A454" s="9"/>
      <c r="B454" s="42"/>
      <c r="C454" s="42"/>
      <c r="D454" s="42"/>
      <c r="E454" s="42"/>
      <c r="F454" s="42"/>
    </row>
    <row r="455">
      <c r="A455" s="9"/>
      <c r="B455" s="42"/>
      <c r="C455" s="42"/>
      <c r="D455" s="42"/>
      <c r="E455" s="42"/>
      <c r="F455" s="42"/>
    </row>
    <row r="456">
      <c r="A456" s="9"/>
      <c r="B456" s="42"/>
      <c r="C456" s="42"/>
      <c r="D456" s="42"/>
      <c r="E456" s="42"/>
      <c r="F456" s="42"/>
    </row>
    <row r="457">
      <c r="A457" s="9"/>
      <c r="B457" s="42"/>
      <c r="C457" s="42"/>
      <c r="D457" s="42"/>
      <c r="E457" s="42"/>
      <c r="F457" s="42"/>
    </row>
    <row r="458">
      <c r="A458" s="9"/>
      <c r="B458" s="42"/>
      <c r="C458" s="42"/>
      <c r="D458" s="42"/>
      <c r="E458" s="42"/>
      <c r="F458" s="42"/>
    </row>
    <row r="459">
      <c r="A459" s="9"/>
      <c r="B459" s="42"/>
      <c r="C459" s="42"/>
      <c r="D459" s="42"/>
      <c r="E459" s="42"/>
      <c r="F459" s="42"/>
    </row>
    <row r="460">
      <c r="A460" s="9"/>
      <c r="B460" s="42"/>
      <c r="C460" s="42"/>
      <c r="D460" s="42"/>
      <c r="E460" s="42"/>
      <c r="F460" s="42"/>
    </row>
    <row r="461">
      <c r="A461" s="9"/>
      <c r="B461" s="42"/>
      <c r="C461" s="42"/>
      <c r="D461" s="42"/>
      <c r="E461" s="42"/>
      <c r="F461" s="42"/>
    </row>
    <row r="462">
      <c r="A462" s="9"/>
      <c r="B462" s="42"/>
      <c r="C462" s="42"/>
      <c r="D462" s="42"/>
      <c r="E462" s="42"/>
      <c r="F462" s="42"/>
    </row>
    <row r="463">
      <c r="A463" s="9"/>
      <c r="B463" s="42"/>
      <c r="C463" s="42"/>
      <c r="D463" s="42"/>
      <c r="E463" s="42"/>
      <c r="F463" s="42"/>
    </row>
    <row r="464">
      <c r="A464" s="9"/>
      <c r="B464" s="42"/>
      <c r="C464" s="42"/>
      <c r="D464" s="42"/>
      <c r="E464" s="42"/>
      <c r="F464" s="42"/>
    </row>
    <row r="465">
      <c r="A465" s="9"/>
      <c r="B465" s="42"/>
      <c r="C465" s="42"/>
      <c r="D465" s="42"/>
      <c r="E465" s="42"/>
      <c r="F465" s="42"/>
    </row>
    <row r="466">
      <c r="A466" s="9"/>
      <c r="B466" s="42"/>
      <c r="C466" s="42"/>
      <c r="D466" s="42"/>
      <c r="E466" s="42"/>
      <c r="F466" s="42"/>
    </row>
    <row r="467">
      <c r="A467" s="9"/>
      <c r="B467" s="42"/>
      <c r="C467" s="42"/>
      <c r="D467" s="42"/>
      <c r="E467" s="42"/>
      <c r="F467" s="42"/>
    </row>
    <row r="468">
      <c r="A468" s="9"/>
      <c r="B468" s="42"/>
      <c r="C468" s="42"/>
      <c r="D468" s="42"/>
      <c r="E468" s="42"/>
      <c r="F468" s="42"/>
    </row>
    <row r="469">
      <c r="A469" s="9"/>
      <c r="B469" s="42"/>
      <c r="C469" s="42"/>
      <c r="D469" s="42"/>
      <c r="E469" s="42"/>
      <c r="F469" s="42"/>
    </row>
    <row r="470">
      <c r="A470" s="9"/>
      <c r="B470" s="42"/>
      <c r="C470" s="42"/>
      <c r="D470" s="42"/>
      <c r="E470" s="42"/>
      <c r="F470" s="42"/>
    </row>
    <row r="471">
      <c r="A471" s="9"/>
      <c r="B471" s="42"/>
      <c r="C471" s="42"/>
      <c r="D471" s="42"/>
      <c r="E471" s="42"/>
      <c r="F471" s="42"/>
    </row>
    <row r="472">
      <c r="A472" s="9"/>
      <c r="B472" s="42"/>
      <c r="C472" s="42"/>
      <c r="D472" s="42"/>
      <c r="E472" s="42"/>
      <c r="F472" s="42"/>
    </row>
    <row r="473">
      <c r="A473" s="9"/>
      <c r="B473" s="42"/>
      <c r="C473" s="42"/>
      <c r="D473" s="42"/>
      <c r="E473" s="42"/>
      <c r="F473" s="42"/>
    </row>
    <row r="474">
      <c r="A474" s="9"/>
      <c r="B474" s="42"/>
      <c r="C474" s="42"/>
      <c r="D474" s="42"/>
      <c r="E474" s="42"/>
      <c r="F474" s="42"/>
    </row>
    <row r="475">
      <c r="A475" s="9"/>
      <c r="B475" s="42"/>
      <c r="C475" s="42"/>
      <c r="D475" s="42"/>
      <c r="E475" s="42"/>
      <c r="F475" s="42"/>
    </row>
    <row r="476">
      <c r="A476" s="9"/>
      <c r="B476" s="42"/>
      <c r="C476" s="42"/>
      <c r="D476" s="42"/>
      <c r="E476" s="42"/>
      <c r="F476" s="42"/>
    </row>
    <row r="477">
      <c r="A477" s="9"/>
      <c r="B477" s="42"/>
      <c r="C477" s="42"/>
      <c r="D477" s="42"/>
      <c r="E477" s="42"/>
      <c r="F477" s="42"/>
    </row>
    <row r="478">
      <c r="A478" s="9"/>
      <c r="B478" s="42"/>
      <c r="C478" s="42"/>
      <c r="D478" s="42"/>
      <c r="E478" s="42"/>
      <c r="F478" s="42"/>
    </row>
    <row r="479">
      <c r="A479" s="9"/>
      <c r="B479" s="42"/>
      <c r="C479" s="42"/>
      <c r="D479" s="42"/>
      <c r="E479" s="42"/>
      <c r="F479" s="42"/>
    </row>
    <row r="480">
      <c r="A480" s="9"/>
      <c r="B480" s="42"/>
      <c r="C480" s="42"/>
      <c r="D480" s="42"/>
      <c r="E480" s="42"/>
      <c r="F480" s="42"/>
    </row>
    <row r="481">
      <c r="A481" s="9"/>
      <c r="B481" s="42"/>
      <c r="C481" s="42"/>
      <c r="D481" s="42"/>
      <c r="E481" s="42"/>
      <c r="F481" s="42"/>
    </row>
    <row r="482">
      <c r="A482" s="9"/>
      <c r="B482" s="42"/>
      <c r="C482" s="42"/>
      <c r="D482" s="42"/>
      <c r="E482" s="42"/>
      <c r="F482" s="42"/>
    </row>
    <row r="483">
      <c r="A483" s="9"/>
      <c r="B483" s="42"/>
      <c r="C483" s="42"/>
      <c r="D483" s="42"/>
      <c r="E483" s="42"/>
      <c r="F483" s="42"/>
    </row>
    <row r="484">
      <c r="A484" s="9"/>
      <c r="B484" s="42"/>
      <c r="C484" s="42"/>
      <c r="D484" s="42"/>
      <c r="E484" s="42"/>
      <c r="F484" s="42"/>
    </row>
    <row r="485">
      <c r="A485" s="9"/>
      <c r="B485" s="42"/>
      <c r="C485" s="42"/>
      <c r="D485" s="42"/>
      <c r="E485" s="42"/>
      <c r="F485" s="42"/>
    </row>
    <row r="486">
      <c r="A486" s="9"/>
      <c r="B486" s="42"/>
      <c r="C486" s="42"/>
      <c r="D486" s="42"/>
      <c r="E486" s="42"/>
      <c r="F486" s="42"/>
    </row>
    <row r="487">
      <c r="A487" s="9"/>
      <c r="B487" s="42"/>
      <c r="C487" s="42"/>
      <c r="D487" s="42"/>
      <c r="E487" s="42"/>
      <c r="F487" s="42"/>
    </row>
    <row r="488">
      <c r="A488" s="9"/>
      <c r="B488" s="42"/>
      <c r="C488" s="42"/>
      <c r="D488" s="42"/>
      <c r="E488" s="42"/>
      <c r="F488" s="42"/>
    </row>
    <row r="489">
      <c r="A489" s="9"/>
      <c r="B489" s="42"/>
      <c r="C489" s="42"/>
      <c r="D489" s="42"/>
      <c r="E489" s="42"/>
      <c r="F489" s="42"/>
    </row>
    <row r="490">
      <c r="A490" s="9"/>
      <c r="B490" s="42"/>
      <c r="C490" s="42"/>
      <c r="D490" s="42"/>
      <c r="E490" s="42"/>
      <c r="F490" s="42"/>
    </row>
    <row r="491">
      <c r="A491" s="9"/>
      <c r="B491" s="42"/>
      <c r="C491" s="42"/>
      <c r="D491" s="42"/>
      <c r="E491" s="42"/>
      <c r="F491" s="42"/>
    </row>
    <row r="492">
      <c r="A492" s="9"/>
      <c r="B492" s="42"/>
      <c r="C492" s="42"/>
      <c r="D492" s="42"/>
      <c r="E492" s="42"/>
      <c r="F492" s="42"/>
    </row>
    <row r="493">
      <c r="A493" s="9"/>
      <c r="B493" s="42"/>
      <c r="C493" s="42"/>
      <c r="D493" s="42"/>
      <c r="E493" s="42"/>
      <c r="F493" s="42"/>
    </row>
    <row r="494">
      <c r="A494" s="9"/>
      <c r="B494" s="42"/>
      <c r="C494" s="42"/>
      <c r="D494" s="42"/>
      <c r="E494" s="42"/>
      <c r="F494" s="42"/>
    </row>
    <row r="495">
      <c r="A495" s="9"/>
      <c r="B495" s="42"/>
      <c r="C495" s="42"/>
      <c r="D495" s="42"/>
      <c r="E495" s="42"/>
      <c r="F495" s="42"/>
    </row>
    <row r="496">
      <c r="A496" s="9"/>
      <c r="B496" s="42"/>
      <c r="C496" s="42"/>
      <c r="D496" s="42"/>
      <c r="E496" s="42"/>
      <c r="F496" s="42"/>
    </row>
    <row r="497">
      <c r="A497" s="9"/>
      <c r="B497" s="42"/>
      <c r="C497" s="42"/>
      <c r="D497" s="42"/>
      <c r="E497" s="42"/>
      <c r="F497" s="42"/>
    </row>
    <row r="498">
      <c r="A498" s="9"/>
      <c r="B498" s="42"/>
      <c r="C498" s="42"/>
      <c r="D498" s="42"/>
      <c r="E498" s="42"/>
      <c r="F498" s="42"/>
    </row>
    <row r="499">
      <c r="A499" s="9"/>
      <c r="B499" s="42"/>
      <c r="C499" s="42"/>
      <c r="D499" s="42"/>
      <c r="E499" s="42"/>
      <c r="F499" s="42"/>
    </row>
    <row r="500">
      <c r="A500" s="9"/>
      <c r="B500" s="42"/>
      <c r="C500" s="42"/>
      <c r="D500" s="42"/>
      <c r="E500" s="42"/>
      <c r="F500" s="42"/>
    </row>
    <row r="501">
      <c r="A501" s="9"/>
      <c r="B501" s="42"/>
      <c r="C501" s="42"/>
      <c r="D501" s="42"/>
      <c r="E501" s="42"/>
      <c r="F501" s="42"/>
    </row>
    <row r="502">
      <c r="A502" s="9"/>
      <c r="B502" s="42"/>
      <c r="C502" s="42"/>
      <c r="D502" s="42"/>
      <c r="E502" s="42"/>
      <c r="F502" s="42"/>
    </row>
    <row r="503">
      <c r="A503" s="9"/>
      <c r="B503" s="42"/>
      <c r="C503" s="42"/>
      <c r="D503" s="42"/>
      <c r="E503" s="42"/>
      <c r="F503" s="42"/>
    </row>
    <row r="504">
      <c r="A504" s="9"/>
      <c r="B504" s="42"/>
      <c r="C504" s="42"/>
      <c r="D504" s="42"/>
      <c r="E504" s="42"/>
      <c r="F504" s="42"/>
    </row>
    <row r="505">
      <c r="A505" s="9"/>
      <c r="B505" s="42"/>
      <c r="C505" s="42"/>
      <c r="D505" s="42"/>
      <c r="E505" s="42"/>
      <c r="F505" s="42"/>
    </row>
    <row r="506">
      <c r="A506" s="9"/>
      <c r="B506" s="42"/>
      <c r="C506" s="42"/>
      <c r="D506" s="42"/>
      <c r="E506" s="42"/>
      <c r="F506" s="42"/>
    </row>
    <row r="507">
      <c r="A507" s="9"/>
      <c r="B507" s="42"/>
      <c r="C507" s="42"/>
      <c r="D507" s="42"/>
      <c r="E507" s="42"/>
      <c r="F507" s="42"/>
    </row>
    <row r="508">
      <c r="A508" s="9"/>
      <c r="B508" s="42"/>
      <c r="C508" s="42"/>
      <c r="D508" s="42"/>
      <c r="E508" s="42"/>
      <c r="F508" s="42"/>
    </row>
    <row r="509">
      <c r="A509" s="9"/>
      <c r="B509" s="42"/>
      <c r="C509" s="42"/>
      <c r="D509" s="42"/>
      <c r="E509" s="42"/>
      <c r="F509" s="42"/>
    </row>
    <row r="510">
      <c r="A510" s="9"/>
      <c r="B510" s="42"/>
      <c r="C510" s="42"/>
      <c r="D510" s="42"/>
      <c r="E510" s="42"/>
      <c r="F510" s="42"/>
    </row>
    <row r="511">
      <c r="A511" s="9"/>
      <c r="B511" s="42"/>
      <c r="C511" s="42"/>
      <c r="D511" s="42"/>
      <c r="E511" s="42"/>
      <c r="F511" s="42"/>
    </row>
    <row r="512">
      <c r="A512" s="9"/>
      <c r="B512" s="42"/>
      <c r="C512" s="42"/>
      <c r="D512" s="42"/>
      <c r="E512" s="42"/>
      <c r="F512" s="42"/>
    </row>
    <row r="513">
      <c r="A513" s="9"/>
      <c r="B513" s="42"/>
      <c r="C513" s="42"/>
      <c r="D513" s="42"/>
      <c r="E513" s="42"/>
      <c r="F513" s="42"/>
    </row>
    <row r="514">
      <c r="A514" s="9"/>
      <c r="B514" s="42"/>
      <c r="C514" s="42"/>
      <c r="D514" s="42"/>
      <c r="E514" s="42"/>
      <c r="F514" s="42"/>
    </row>
    <row r="515">
      <c r="A515" s="9"/>
      <c r="B515" s="42"/>
      <c r="C515" s="42"/>
      <c r="D515" s="42"/>
      <c r="E515" s="42"/>
      <c r="F515" s="42"/>
    </row>
    <row r="516">
      <c r="A516" s="9"/>
      <c r="B516" s="42"/>
      <c r="C516" s="42"/>
      <c r="D516" s="42"/>
      <c r="E516" s="42"/>
      <c r="F516" s="42"/>
    </row>
    <row r="517">
      <c r="A517" s="9"/>
      <c r="B517" s="42"/>
      <c r="C517" s="42"/>
      <c r="D517" s="42"/>
      <c r="E517" s="42"/>
      <c r="F517" s="42"/>
    </row>
    <row r="518">
      <c r="A518" s="9"/>
      <c r="B518" s="42"/>
      <c r="C518" s="42"/>
      <c r="D518" s="42"/>
      <c r="E518" s="42"/>
      <c r="F518" s="42"/>
    </row>
    <row r="519">
      <c r="A519" s="9"/>
      <c r="B519" s="42"/>
      <c r="C519" s="42"/>
      <c r="D519" s="42"/>
      <c r="E519" s="42"/>
      <c r="F519" s="42"/>
    </row>
    <row r="520">
      <c r="A520" s="9"/>
      <c r="B520" s="42"/>
      <c r="C520" s="42"/>
      <c r="D520" s="42"/>
      <c r="E520" s="42"/>
      <c r="F520" s="42"/>
    </row>
    <row r="521">
      <c r="A521" s="9"/>
      <c r="B521" s="42"/>
      <c r="C521" s="42"/>
      <c r="D521" s="42"/>
      <c r="E521" s="42"/>
      <c r="F521" s="42"/>
    </row>
    <row r="522">
      <c r="A522" s="9"/>
      <c r="B522" s="42"/>
      <c r="C522" s="42"/>
      <c r="D522" s="42"/>
      <c r="E522" s="42"/>
      <c r="F522" s="42"/>
    </row>
    <row r="523">
      <c r="A523" s="9"/>
      <c r="B523" s="42"/>
      <c r="C523" s="42"/>
      <c r="D523" s="42"/>
      <c r="E523" s="42"/>
      <c r="F523" s="42"/>
    </row>
    <row r="524">
      <c r="A524" s="9"/>
      <c r="B524" s="42"/>
      <c r="C524" s="42"/>
      <c r="D524" s="42"/>
      <c r="E524" s="42"/>
      <c r="F524" s="42"/>
    </row>
    <row r="525">
      <c r="A525" s="9"/>
      <c r="B525" s="42"/>
      <c r="C525" s="42"/>
      <c r="D525" s="42"/>
      <c r="E525" s="42"/>
      <c r="F525" s="42"/>
    </row>
    <row r="526">
      <c r="A526" s="9"/>
      <c r="B526" s="42"/>
      <c r="C526" s="42"/>
      <c r="D526" s="42"/>
      <c r="E526" s="42"/>
      <c r="F526" s="42"/>
    </row>
    <row r="527">
      <c r="A527" s="9"/>
      <c r="B527" s="42"/>
      <c r="C527" s="42"/>
      <c r="D527" s="42"/>
      <c r="E527" s="42"/>
      <c r="F527" s="42"/>
    </row>
    <row r="528">
      <c r="A528" s="9"/>
      <c r="B528" s="42"/>
      <c r="C528" s="42"/>
      <c r="D528" s="42"/>
      <c r="E528" s="42"/>
      <c r="F528" s="42"/>
    </row>
    <row r="529">
      <c r="A529" s="9"/>
      <c r="B529" s="42"/>
      <c r="C529" s="42"/>
      <c r="D529" s="42"/>
      <c r="E529" s="42"/>
      <c r="F529" s="42"/>
    </row>
    <row r="530">
      <c r="A530" s="9"/>
      <c r="B530" s="42"/>
      <c r="C530" s="42"/>
      <c r="D530" s="42"/>
      <c r="E530" s="42"/>
      <c r="F530" s="42"/>
    </row>
    <row r="531">
      <c r="A531" s="9"/>
      <c r="B531" s="42"/>
      <c r="C531" s="42"/>
      <c r="D531" s="42"/>
      <c r="E531" s="42"/>
      <c r="F531" s="42"/>
    </row>
    <row r="532">
      <c r="A532" s="9"/>
      <c r="B532" s="42"/>
      <c r="C532" s="42"/>
      <c r="D532" s="42"/>
      <c r="E532" s="42"/>
      <c r="F532" s="42"/>
    </row>
    <row r="533">
      <c r="A533" s="9"/>
      <c r="B533" s="42"/>
      <c r="C533" s="42"/>
      <c r="D533" s="42"/>
      <c r="E533" s="42"/>
      <c r="F533" s="42"/>
    </row>
    <row r="534">
      <c r="A534" s="9"/>
      <c r="B534" s="42"/>
      <c r="C534" s="42"/>
      <c r="D534" s="42"/>
      <c r="E534" s="42"/>
      <c r="F534" s="42"/>
    </row>
    <row r="535">
      <c r="A535" s="9"/>
      <c r="B535" s="42"/>
      <c r="C535" s="42"/>
      <c r="D535" s="42"/>
      <c r="E535" s="42"/>
      <c r="F535" s="42"/>
    </row>
    <row r="536">
      <c r="A536" s="9"/>
      <c r="B536" s="42"/>
      <c r="C536" s="42"/>
      <c r="D536" s="42"/>
      <c r="E536" s="42"/>
      <c r="F536" s="42"/>
    </row>
    <row r="537">
      <c r="A537" s="9"/>
      <c r="B537" s="42"/>
      <c r="C537" s="42"/>
      <c r="D537" s="42"/>
      <c r="E537" s="42"/>
      <c r="F537" s="42"/>
    </row>
    <row r="538">
      <c r="A538" s="9"/>
      <c r="B538" s="42"/>
      <c r="C538" s="42"/>
      <c r="D538" s="42"/>
      <c r="E538" s="42"/>
      <c r="F538" s="42"/>
    </row>
    <row r="539">
      <c r="A539" s="9"/>
      <c r="B539" s="42"/>
      <c r="C539" s="42"/>
      <c r="D539" s="42"/>
      <c r="E539" s="42"/>
      <c r="F539" s="42"/>
    </row>
    <row r="540">
      <c r="A540" s="9"/>
      <c r="B540" s="42"/>
      <c r="C540" s="42"/>
      <c r="D540" s="42"/>
      <c r="E540" s="42"/>
      <c r="F540" s="42"/>
    </row>
    <row r="541">
      <c r="A541" s="9"/>
      <c r="B541" s="42"/>
      <c r="C541" s="42"/>
      <c r="D541" s="42"/>
      <c r="E541" s="42"/>
      <c r="F541" s="42"/>
    </row>
    <row r="542">
      <c r="A542" s="9"/>
      <c r="B542" s="42"/>
      <c r="C542" s="42"/>
      <c r="D542" s="42"/>
      <c r="E542" s="42"/>
      <c r="F542" s="42"/>
    </row>
    <row r="543">
      <c r="A543" s="9"/>
      <c r="B543" s="42"/>
      <c r="C543" s="42"/>
      <c r="D543" s="42"/>
      <c r="E543" s="42"/>
      <c r="F543" s="42"/>
    </row>
    <row r="544">
      <c r="A544" s="9"/>
      <c r="B544" s="42"/>
      <c r="C544" s="42"/>
      <c r="D544" s="42"/>
      <c r="E544" s="42"/>
      <c r="F544" s="42"/>
    </row>
    <row r="545">
      <c r="A545" s="9"/>
      <c r="B545" s="42"/>
      <c r="C545" s="42"/>
      <c r="D545" s="42"/>
      <c r="E545" s="42"/>
      <c r="F545" s="42"/>
    </row>
    <row r="546">
      <c r="A546" s="9"/>
      <c r="B546" s="42"/>
      <c r="C546" s="42"/>
      <c r="D546" s="42"/>
      <c r="E546" s="42"/>
      <c r="F546" s="42"/>
    </row>
    <row r="547">
      <c r="A547" s="9"/>
      <c r="B547" s="42"/>
      <c r="C547" s="42"/>
      <c r="D547" s="42"/>
      <c r="E547" s="42"/>
      <c r="F547" s="42"/>
    </row>
    <row r="548">
      <c r="A548" s="9"/>
      <c r="B548" s="42"/>
      <c r="C548" s="42"/>
      <c r="D548" s="42"/>
      <c r="E548" s="42"/>
      <c r="F548" s="42"/>
    </row>
    <row r="549">
      <c r="A549" s="9"/>
      <c r="B549" s="42"/>
      <c r="C549" s="42"/>
      <c r="D549" s="42"/>
      <c r="E549" s="42"/>
      <c r="F549" s="42"/>
    </row>
    <row r="550">
      <c r="A550" s="9"/>
      <c r="B550" s="42"/>
      <c r="C550" s="42"/>
      <c r="D550" s="42"/>
      <c r="E550" s="42"/>
      <c r="F550" s="42"/>
    </row>
    <row r="551">
      <c r="A551" s="9"/>
      <c r="B551" s="42"/>
      <c r="C551" s="42"/>
      <c r="D551" s="42"/>
      <c r="E551" s="42"/>
      <c r="F551" s="42"/>
    </row>
    <row r="552">
      <c r="A552" s="9"/>
      <c r="B552" s="42"/>
      <c r="C552" s="42"/>
      <c r="D552" s="42"/>
      <c r="E552" s="42"/>
      <c r="F552" s="42"/>
    </row>
    <row r="553">
      <c r="A553" s="9"/>
      <c r="B553" s="42"/>
      <c r="C553" s="42"/>
      <c r="D553" s="42"/>
      <c r="E553" s="42"/>
      <c r="F553" s="42"/>
    </row>
    <row r="554">
      <c r="A554" s="9"/>
      <c r="B554" s="42"/>
      <c r="C554" s="42"/>
      <c r="D554" s="42"/>
      <c r="E554" s="42"/>
      <c r="F554" s="42"/>
    </row>
    <row r="555">
      <c r="A555" s="9"/>
      <c r="B555" s="42"/>
      <c r="C555" s="42"/>
      <c r="D555" s="42"/>
      <c r="E555" s="42"/>
      <c r="F555" s="42"/>
    </row>
    <row r="556">
      <c r="A556" s="9"/>
      <c r="B556" s="42"/>
      <c r="C556" s="42"/>
      <c r="D556" s="42"/>
      <c r="E556" s="42"/>
      <c r="F556" s="42"/>
    </row>
    <row r="557">
      <c r="A557" s="9"/>
      <c r="B557" s="42"/>
      <c r="C557" s="42"/>
      <c r="D557" s="42"/>
      <c r="E557" s="42"/>
      <c r="F557" s="42"/>
    </row>
    <row r="558">
      <c r="A558" s="9"/>
      <c r="B558" s="42"/>
      <c r="C558" s="42"/>
      <c r="D558" s="42"/>
      <c r="E558" s="42"/>
      <c r="F558" s="42"/>
    </row>
    <row r="559">
      <c r="A559" s="9"/>
      <c r="B559" s="42"/>
      <c r="C559" s="42"/>
      <c r="D559" s="42"/>
      <c r="E559" s="42"/>
      <c r="F559" s="42"/>
    </row>
    <row r="560">
      <c r="A560" s="9"/>
      <c r="B560" s="42"/>
      <c r="C560" s="42"/>
      <c r="D560" s="42"/>
      <c r="E560" s="42"/>
      <c r="F560" s="42"/>
    </row>
    <row r="561">
      <c r="A561" s="9"/>
      <c r="B561" s="42"/>
      <c r="C561" s="42"/>
      <c r="D561" s="42"/>
      <c r="E561" s="42"/>
      <c r="F561" s="42"/>
    </row>
    <row r="562">
      <c r="A562" s="9"/>
      <c r="B562" s="42"/>
      <c r="C562" s="42"/>
      <c r="D562" s="42"/>
      <c r="E562" s="42"/>
      <c r="F562" s="42"/>
    </row>
    <row r="563">
      <c r="A563" s="9"/>
      <c r="B563" s="42"/>
      <c r="C563" s="42"/>
      <c r="D563" s="42"/>
      <c r="E563" s="42"/>
      <c r="F563" s="42"/>
    </row>
    <row r="564">
      <c r="A564" s="9"/>
      <c r="B564" s="42"/>
      <c r="C564" s="42"/>
      <c r="D564" s="42"/>
      <c r="E564" s="42"/>
      <c r="F564" s="42"/>
    </row>
    <row r="565">
      <c r="A565" s="9"/>
      <c r="B565" s="42"/>
      <c r="C565" s="42"/>
      <c r="D565" s="42"/>
      <c r="E565" s="42"/>
      <c r="F565" s="42"/>
    </row>
    <row r="566">
      <c r="A566" s="9"/>
      <c r="B566" s="42"/>
      <c r="C566" s="42"/>
      <c r="D566" s="42"/>
      <c r="E566" s="42"/>
      <c r="F566" s="42"/>
    </row>
    <row r="567">
      <c r="A567" s="9"/>
      <c r="B567" s="42"/>
      <c r="C567" s="42"/>
      <c r="D567" s="42"/>
      <c r="E567" s="42"/>
      <c r="F567" s="42"/>
    </row>
    <row r="568">
      <c r="A568" s="9"/>
      <c r="B568" s="42"/>
      <c r="C568" s="42"/>
      <c r="D568" s="42"/>
      <c r="E568" s="42"/>
      <c r="F568" s="42"/>
    </row>
    <row r="569">
      <c r="A569" s="9"/>
      <c r="B569" s="42"/>
      <c r="C569" s="42"/>
      <c r="D569" s="42"/>
      <c r="E569" s="42"/>
      <c r="F569" s="42"/>
    </row>
    <row r="570">
      <c r="A570" s="9"/>
      <c r="B570" s="42"/>
      <c r="C570" s="42"/>
      <c r="D570" s="42"/>
      <c r="E570" s="42"/>
      <c r="F570" s="42"/>
    </row>
    <row r="571">
      <c r="A571" s="9"/>
      <c r="B571" s="42"/>
      <c r="C571" s="42"/>
      <c r="D571" s="42"/>
      <c r="E571" s="42"/>
      <c r="F571" s="42"/>
    </row>
    <row r="572">
      <c r="A572" s="9"/>
      <c r="B572" s="42"/>
      <c r="C572" s="42"/>
      <c r="D572" s="42"/>
      <c r="E572" s="42"/>
      <c r="F572" s="42"/>
    </row>
    <row r="573">
      <c r="A573" s="9"/>
      <c r="B573" s="42"/>
      <c r="C573" s="42"/>
      <c r="D573" s="42"/>
      <c r="E573" s="42"/>
      <c r="F573" s="42"/>
    </row>
    <row r="574">
      <c r="A574" s="9"/>
      <c r="B574" s="42"/>
      <c r="C574" s="42"/>
      <c r="D574" s="42"/>
      <c r="E574" s="42"/>
      <c r="F574" s="42"/>
    </row>
    <row r="575">
      <c r="A575" s="9"/>
      <c r="B575" s="42"/>
      <c r="C575" s="42"/>
      <c r="D575" s="42"/>
      <c r="E575" s="42"/>
      <c r="F575" s="42"/>
    </row>
    <row r="576">
      <c r="A576" s="9"/>
      <c r="B576" s="42"/>
      <c r="C576" s="42"/>
      <c r="D576" s="42"/>
      <c r="E576" s="42"/>
      <c r="F576" s="42"/>
    </row>
    <row r="577">
      <c r="A577" s="9"/>
      <c r="B577" s="42"/>
      <c r="C577" s="42"/>
      <c r="D577" s="42"/>
      <c r="E577" s="42"/>
      <c r="F577" s="42"/>
    </row>
    <row r="578">
      <c r="A578" s="9"/>
      <c r="B578" s="42"/>
      <c r="C578" s="42"/>
      <c r="D578" s="42"/>
      <c r="E578" s="42"/>
      <c r="F578" s="42"/>
    </row>
    <row r="579">
      <c r="A579" s="9"/>
      <c r="B579" s="42"/>
      <c r="C579" s="42"/>
      <c r="D579" s="42"/>
      <c r="E579" s="42"/>
      <c r="F579" s="42"/>
    </row>
    <row r="580">
      <c r="A580" s="9"/>
      <c r="B580" s="42"/>
      <c r="C580" s="42"/>
      <c r="D580" s="42"/>
      <c r="E580" s="42"/>
      <c r="F580" s="42"/>
    </row>
    <row r="581">
      <c r="A581" s="9"/>
      <c r="B581" s="42"/>
      <c r="C581" s="42"/>
      <c r="D581" s="42"/>
      <c r="E581" s="42"/>
      <c r="F581" s="42"/>
    </row>
    <row r="582">
      <c r="A582" s="9"/>
      <c r="B582" s="42"/>
      <c r="C582" s="42"/>
      <c r="D582" s="42"/>
      <c r="E582" s="42"/>
      <c r="F582" s="42"/>
    </row>
    <row r="583">
      <c r="A583" s="9"/>
      <c r="B583" s="42"/>
      <c r="C583" s="42"/>
      <c r="D583" s="42"/>
      <c r="E583" s="42"/>
      <c r="F583" s="42"/>
    </row>
    <row r="584">
      <c r="A584" s="9"/>
      <c r="B584" s="42"/>
      <c r="C584" s="42"/>
      <c r="D584" s="42"/>
      <c r="E584" s="42"/>
      <c r="F584" s="42"/>
    </row>
    <row r="585">
      <c r="A585" s="9"/>
      <c r="B585" s="42"/>
      <c r="C585" s="42"/>
      <c r="D585" s="42"/>
      <c r="E585" s="42"/>
      <c r="F585" s="42"/>
    </row>
    <row r="586">
      <c r="A586" s="9"/>
      <c r="B586" s="42"/>
      <c r="C586" s="42"/>
      <c r="D586" s="42"/>
      <c r="E586" s="42"/>
      <c r="F586" s="42"/>
    </row>
    <row r="587">
      <c r="A587" s="9"/>
      <c r="B587" s="42"/>
      <c r="C587" s="42"/>
      <c r="D587" s="42"/>
      <c r="E587" s="42"/>
      <c r="F587" s="42"/>
    </row>
    <row r="588">
      <c r="A588" s="9"/>
      <c r="B588" s="42"/>
      <c r="C588" s="42"/>
      <c r="D588" s="42"/>
      <c r="E588" s="42"/>
      <c r="F588" s="42"/>
    </row>
    <row r="589">
      <c r="A589" s="9"/>
      <c r="B589" s="42"/>
      <c r="C589" s="42"/>
      <c r="D589" s="42"/>
      <c r="E589" s="42"/>
      <c r="F589" s="42"/>
    </row>
    <row r="590">
      <c r="A590" s="9"/>
      <c r="B590" s="42"/>
      <c r="C590" s="42"/>
      <c r="D590" s="42"/>
      <c r="E590" s="42"/>
      <c r="F590" s="42"/>
    </row>
    <row r="591">
      <c r="A591" s="9"/>
      <c r="B591" s="42"/>
      <c r="C591" s="42"/>
      <c r="D591" s="42"/>
      <c r="E591" s="42"/>
      <c r="F591" s="42"/>
    </row>
    <row r="592">
      <c r="A592" s="9"/>
      <c r="B592" s="42"/>
      <c r="C592" s="42"/>
      <c r="D592" s="42"/>
      <c r="E592" s="42"/>
      <c r="F592" s="42"/>
    </row>
    <row r="593">
      <c r="A593" s="9"/>
      <c r="B593" s="42"/>
      <c r="C593" s="42"/>
      <c r="D593" s="42"/>
      <c r="E593" s="42"/>
      <c r="F593" s="42"/>
    </row>
    <row r="594">
      <c r="A594" s="9"/>
      <c r="B594" s="42"/>
      <c r="C594" s="42"/>
      <c r="D594" s="42"/>
      <c r="E594" s="42"/>
      <c r="F594" s="42"/>
    </row>
    <row r="595">
      <c r="A595" s="9"/>
      <c r="B595" s="42"/>
      <c r="C595" s="42"/>
      <c r="D595" s="42"/>
      <c r="E595" s="42"/>
      <c r="F595" s="42"/>
    </row>
    <row r="596">
      <c r="A596" s="9"/>
      <c r="B596" s="42"/>
      <c r="C596" s="42"/>
      <c r="D596" s="42"/>
      <c r="E596" s="42"/>
      <c r="F596" s="42"/>
    </row>
    <row r="597">
      <c r="A597" s="9"/>
      <c r="B597" s="42"/>
      <c r="C597" s="42"/>
      <c r="D597" s="42"/>
      <c r="E597" s="42"/>
      <c r="F597" s="42"/>
    </row>
    <row r="598">
      <c r="A598" s="9"/>
      <c r="B598" s="42"/>
      <c r="C598" s="42"/>
      <c r="D598" s="42"/>
      <c r="E598" s="42"/>
      <c r="F598" s="42"/>
    </row>
    <row r="599">
      <c r="A599" s="9"/>
      <c r="B599" s="42"/>
      <c r="C599" s="42"/>
      <c r="D599" s="42"/>
      <c r="E599" s="42"/>
      <c r="F599" s="42"/>
    </row>
    <row r="600">
      <c r="A600" s="9"/>
      <c r="B600" s="42"/>
      <c r="C600" s="42"/>
      <c r="D600" s="42"/>
      <c r="E600" s="42"/>
      <c r="F600" s="42"/>
    </row>
    <row r="601">
      <c r="A601" s="9"/>
      <c r="B601" s="42"/>
      <c r="C601" s="42"/>
      <c r="D601" s="42"/>
      <c r="E601" s="42"/>
      <c r="F601" s="42"/>
    </row>
    <row r="602">
      <c r="A602" s="9"/>
      <c r="B602" s="42"/>
      <c r="C602" s="42"/>
      <c r="D602" s="42"/>
      <c r="E602" s="42"/>
      <c r="F602" s="42"/>
    </row>
    <row r="603">
      <c r="A603" s="9"/>
      <c r="B603" s="42"/>
      <c r="C603" s="42"/>
      <c r="D603" s="42"/>
      <c r="E603" s="42"/>
      <c r="F603" s="42"/>
    </row>
    <row r="604">
      <c r="A604" s="9"/>
      <c r="B604" s="42"/>
      <c r="C604" s="42"/>
      <c r="D604" s="42"/>
      <c r="E604" s="42"/>
      <c r="F604" s="42"/>
    </row>
    <row r="605">
      <c r="A605" s="9"/>
      <c r="B605" s="42"/>
      <c r="C605" s="42"/>
      <c r="D605" s="42"/>
      <c r="E605" s="42"/>
      <c r="F605" s="42"/>
    </row>
    <row r="606">
      <c r="A606" s="9"/>
      <c r="B606" s="42"/>
      <c r="C606" s="42"/>
      <c r="D606" s="42"/>
      <c r="E606" s="42"/>
      <c r="F606" s="42"/>
    </row>
    <row r="607">
      <c r="A607" s="9"/>
      <c r="B607" s="42"/>
      <c r="C607" s="42"/>
      <c r="D607" s="42"/>
      <c r="E607" s="42"/>
      <c r="F607" s="42"/>
    </row>
    <row r="608">
      <c r="A608" s="9"/>
      <c r="B608" s="42"/>
      <c r="C608" s="42"/>
      <c r="D608" s="42"/>
      <c r="E608" s="42"/>
      <c r="F608" s="42"/>
    </row>
    <row r="609">
      <c r="A609" s="9"/>
      <c r="B609" s="42"/>
      <c r="C609" s="42"/>
      <c r="D609" s="42"/>
      <c r="E609" s="42"/>
      <c r="F609" s="42"/>
    </row>
    <row r="610">
      <c r="A610" s="9"/>
      <c r="B610" s="42"/>
      <c r="C610" s="42"/>
      <c r="D610" s="42"/>
      <c r="E610" s="42"/>
      <c r="F610" s="42"/>
    </row>
    <row r="611">
      <c r="A611" s="9"/>
      <c r="B611" s="42"/>
      <c r="C611" s="42"/>
      <c r="D611" s="42"/>
      <c r="E611" s="42"/>
      <c r="F611" s="42"/>
    </row>
    <row r="612">
      <c r="A612" s="9"/>
      <c r="B612" s="42"/>
      <c r="C612" s="42"/>
      <c r="D612" s="42"/>
      <c r="E612" s="42"/>
      <c r="F612" s="42"/>
    </row>
    <row r="613">
      <c r="A613" s="9"/>
      <c r="B613" s="42"/>
      <c r="C613" s="42"/>
      <c r="D613" s="42"/>
      <c r="E613" s="42"/>
      <c r="F613" s="42"/>
    </row>
    <row r="614">
      <c r="A614" s="9"/>
      <c r="B614" s="42"/>
      <c r="C614" s="42"/>
      <c r="D614" s="42"/>
      <c r="E614" s="42"/>
      <c r="F614" s="42"/>
    </row>
    <row r="615">
      <c r="A615" s="9"/>
      <c r="B615" s="42"/>
      <c r="C615" s="42"/>
      <c r="D615" s="42"/>
      <c r="E615" s="42"/>
      <c r="F615" s="42"/>
    </row>
    <row r="616">
      <c r="A616" s="9"/>
      <c r="B616" s="42"/>
      <c r="C616" s="42"/>
      <c r="D616" s="42"/>
      <c r="E616" s="42"/>
      <c r="F616" s="42"/>
    </row>
    <row r="617">
      <c r="A617" s="9"/>
      <c r="B617" s="42"/>
      <c r="C617" s="42"/>
      <c r="D617" s="42"/>
      <c r="E617" s="42"/>
      <c r="F617" s="42"/>
    </row>
    <row r="618">
      <c r="A618" s="9"/>
      <c r="B618" s="42"/>
      <c r="C618" s="42"/>
      <c r="D618" s="42"/>
      <c r="E618" s="42"/>
      <c r="F618" s="42"/>
    </row>
    <row r="619">
      <c r="A619" s="9"/>
      <c r="B619" s="42"/>
      <c r="C619" s="42"/>
      <c r="D619" s="42"/>
      <c r="E619" s="42"/>
      <c r="F619" s="42"/>
    </row>
    <row r="620">
      <c r="A620" s="9"/>
      <c r="B620" s="42"/>
      <c r="C620" s="42"/>
      <c r="D620" s="42"/>
      <c r="E620" s="42"/>
      <c r="F620" s="42"/>
    </row>
    <row r="621">
      <c r="A621" s="9"/>
      <c r="B621" s="42"/>
      <c r="C621" s="42"/>
      <c r="D621" s="42"/>
      <c r="E621" s="42"/>
      <c r="F621" s="42"/>
    </row>
    <row r="622">
      <c r="A622" s="9"/>
      <c r="B622" s="42"/>
      <c r="C622" s="42"/>
      <c r="D622" s="42"/>
      <c r="E622" s="42"/>
      <c r="F622" s="42"/>
    </row>
    <row r="623">
      <c r="A623" s="9"/>
      <c r="B623" s="42"/>
      <c r="C623" s="42"/>
      <c r="D623" s="42"/>
      <c r="E623" s="42"/>
      <c r="F623" s="42"/>
    </row>
    <row r="624">
      <c r="A624" s="9"/>
      <c r="B624" s="42"/>
      <c r="C624" s="42"/>
      <c r="D624" s="42"/>
      <c r="E624" s="42"/>
      <c r="F624" s="42"/>
    </row>
    <row r="625">
      <c r="A625" s="9"/>
      <c r="B625" s="42"/>
      <c r="C625" s="42"/>
      <c r="D625" s="42"/>
      <c r="E625" s="42"/>
      <c r="F625" s="42"/>
    </row>
    <row r="626">
      <c r="A626" s="9"/>
      <c r="B626" s="42"/>
      <c r="C626" s="42"/>
      <c r="D626" s="42"/>
      <c r="E626" s="42"/>
      <c r="F626" s="42"/>
    </row>
    <row r="627">
      <c r="A627" s="9"/>
      <c r="B627" s="42"/>
      <c r="C627" s="42"/>
      <c r="D627" s="42"/>
      <c r="E627" s="42"/>
      <c r="F627" s="42"/>
    </row>
    <row r="628">
      <c r="A628" s="9"/>
      <c r="B628" s="42"/>
      <c r="C628" s="42"/>
      <c r="D628" s="42"/>
      <c r="E628" s="42"/>
      <c r="F628" s="42"/>
    </row>
    <row r="629">
      <c r="A629" s="9"/>
      <c r="B629" s="42"/>
      <c r="C629" s="42"/>
      <c r="D629" s="42"/>
      <c r="E629" s="42"/>
      <c r="F629" s="42"/>
    </row>
    <row r="630">
      <c r="A630" s="9"/>
      <c r="B630" s="42"/>
      <c r="C630" s="42"/>
      <c r="D630" s="42"/>
      <c r="E630" s="42"/>
      <c r="F630" s="42"/>
    </row>
    <row r="631">
      <c r="A631" s="9"/>
      <c r="B631" s="42"/>
      <c r="C631" s="42"/>
      <c r="D631" s="42"/>
      <c r="E631" s="42"/>
      <c r="F631" s="42"/>
    </row>
    <row r="632">
      <c r="A632" s="9"/>
      <c r="B632" s="42"/>
      <c r="C632" s="42"/>
      <c r="D632" s="42"/>
      <c r="E632" s="42"/>
      <c r="F632" s="42"/>
    </row>
    <row r="633">
      <c r="A633" s="9"/>
      <c r="B633" s="42"/>
      <c r="C633" s="42"/>
      <c r="D633" s="42"/>
      <c r="E633" s="42"/>
      <c r="F633" s="42"/>
    </row>
    <row r="634">
      <c r="A634" s="9"/>
      <c r="B634" s="42"/>
      <c r="C634" s="42"/>
      <c r="D634" s="42"/>
      <c r="E634" s="42"/>
      <c r="F634" s="42"/>
    </row>
    <row r="635">
      <c r="A635" s="9"/>
      <c r="B635" s="42"/>
      <c r="C635" s="42"/>
      <c r="D635" s="42"/>
      <c r="E635" s="42"/>
      <c r="F635" s="42"/>
    </row>
    <row r="636">
      <c r="A636" s="9"/>
      <c r="B636" s="42"/>
      <c r="C636" s="42"/>
      <c r="D636" s="42"/>
      <c r="E636" s="42"/>
      <c r="F636" s="42"/>
    </row>
    <row r="637">
      <c r="A637" s="9"/>
      <c r="B637" s="42"/>
      <c r="C637" s="42"/>
      <c r="D637" s="42"/>
      <c r="E637" s="42"/>
      <c r="F637" s="42"/>
    </row>
    <row r="638">
      <c r="A638" s="9"/>
      <c r="B638" s="42"/>
      <c r="C638" s="42"/>
      <c r="D638" s="42"/>
      <c r="E638" s="42"/>
      <c r="F638" s="42"/>
    </row>
    <row r="639">
      <c r="A639" s="9"/>
      <c r="B639" s="42"/>
      <c r="C639" s="42"/>
      <c r="D639" s="42"/>
      <c r="E639" s="42"/>
      <c r="F639" s="42"/>
    </row>
    <row r="640">
      <c r="A640" s="9"/>
      <c r="B640" s="42"/>
      <c r="C640" s="42"/>
      <c r="D640" s="42"/>
      <c r="E640" s="42"/>
      <c r="F640" s="42"/>
    </row>
    <row r="641">
      <c r="A641" s="9"/>
      <c r="B641" s="42"/>
      <c r="C641" s="42"/>
      <c r="D641" s="42"/>
      <c r="E641" s="42"/>
      <c r="F641" s="42"/>
    </row>
    <row r="642">
      <c r="A642" s="9"/>
      <c r="B642" s="42"/>
      <c r="C642" s="42"/>
      <c r="D642" s="42"/>
      <c r="E642" s="42"/>
      <c r="F642" s="42"/>
    </row>
    <row r="643">
      <c r="A643" s="9"/>
      <c r="B643" s="42"/>
      <c r="C643" s="42"/>
      <c r="D643" s="42"/>
      <c r="E643" s="42"/>
      <c r="F643" s="42"/>
    </row>
    <row r="644">
      <c r="A644" s="9"/>
      <c r="B644" s="42"/>
      <c r="C644" s="42"/>
      <c r="D644" s="42"/>
      <c r="E644" s="42"/>
      <c r="F644" s="42"/>
    </row>
    <row r="645">
      <c r="A645" s="9"/>
      <c r="B645" s="42"/>
      <c r="C645" s="42"/>
      <c r="D645" s="42"/>
      <c r="E645" s="42"/>
      <c r="F645" s="42"/>
    </row>
    <row r="646">
      <c r="A646" s="9"/>
      <c r="B646" s="42"/>
      <c r="C646" s="42"/>
      <c r="D646" s="42"/>
      <c r="E646" s="42"/>
      <c r="F646" s="42"/>
    </row>
    <row r="647">
      <c r="A647" s="9"/>
      <c r="B647" s="42"/>
      <c r="C647" s="42"/>
      <c r="D647" s="42"/>
      <c r="E647" s="42"/>
      <c r="F647" s="42"/>
    </row>
    <row r="648">
      <c r="A648" s="9"/>
      <c r="B648" s="42"/>
      <c r="C648" s="42"/>
      <c r="D648" s="42"/>
      <c r="E648" s="42"/>
      <c r="F648" s="42"/>
    </row>
    <row r="649">
      <c r="A649" s="9"/>
      <c r="B649" s="42"/>
      <c r="C649" s="42"/>
      <c r="D649" s="42"/>
      <c r="E649" s="42"/>
      <c r="F649" s="42"/>
    </row>
    <row r="650">
      <c r="A650" s="9"/>
      <c r="B650" s="42"/>
      <c r="C650" s="42"/>
      <c r="D650" s="42"/>
      <c r="E650" s="42"/>
      <c r="F650" s="42"/>
    </row>
    <row r="651">
      <c r="A651" s="9"/>
      <c r="B651" s="42"/>
      <c r="C651" s="42"/>
      <c r="D651" s="42"/>
      <c r="E651" s="42"/>
      <c r="F651" s="42"/>
    </row>
    <row r="652">
      <c r="A652" s="9"/>
      <c r="B652" s="42"/>
      <c r="C652" s="42"/>
      <c r="D652" s="42"/>
      <c r="E652" s="42"/>
      <c r="F652" s="42"/>
    </row>
    <row r="653">
      <c r="A653" s="9"/>
      <c r="B653" s="42"/>
      <c r="C653" s="42"/>
      <c r="D653" s="42"/>
      <c r="E653" s="42"/>
      <c r="F653" s="42"/>
    </row>
    <row r="654">
      <c r="A654" s="9"/>
      <c r="B654" s="42"/>
      <c r="C654" s="42"/>
      <c r="D654" s="42"/>
      <c r="E654" s="42"/>
      <c r="F654" s="42"/>
    </row>
    <row r="655">
      <c r="A655" s="9"/>
      <c r="B655" s="42"/>
      <c r="C655" s="42"/>
      <c r="D655" s="42"/>
      <c r="E655" s="42"/>
      <c r="F655" s="42"/>
    </row>
    <row r="656">
      <c r="A656" s="9"/>
      <c r="B656" s="42"/>
      <c r="C656" s="42"/>
      <c r="D656" s="42"/>
      <c r="E656" s="42"/>
      <c r="F656" s="42"/>
    </row>
    <row r="657">
      <c r="A657" s="9"/>
      <c r="B657" s="42"/>
      <c r="C657" s="42"/>
      <c r="D657" s="42"/>
      <c r="E657" s="42"/>
      <c r="F657" s="42"/>
    </row>
    <row r="658">
      <c r="A658" s="9"/>
      <c r="B658" s="42"/>
      <c r="C658" s="42"/>
      <c r="D658" s="42"/>
      <c r="E658" s="42"/>
      <c r="F658" s="42"/>
    </row>
    <row r="659">
      <c r="A659" s="9"/>
      <c r="B659" s="42"/>
      <c r="C659" s="42"/>
      <c r="D659" s="42"/>
      <c r="E659" s="42"/>
      <c r="F659" s="42"/>
    </row>
    <row r="660">
      <c r="A660" s="9"/>
      <c r="B660" s="42"/>
      <c r="C660" s="42"/>
      <c r="D660" s="42"/>
      <c r="E660" s="42"/>
      <c r="F660" s="42"/>
    </row>
    <row r="661">
      <c r="A661" s="9"/>
      <c r="B661" s="42"/>
      <c r="C661" s="42"/>
      <c r="D661" s="42"/>
      <c r="E661" s="42"/>
      <c r="F661" s="42"/>
    </row>
    <row r="662">
      <c r="A662" s="9"/>
      <c r="B662" s="42"/>
      <c r="C662" s="42"/>
      <c r="D662" s="42"/>
      <c r="E662" s="42"/>
      <c r="F662" s="42"/>
    </row>
    <row r="663">
      <c r="A663" s="9"/>
      <c r="B663" s="42"/>
      <c r="C663" s="42"/>
      <c r="D663" s="42"/>
      <c r="E663" s="42"/>
      <c r="F663" s="42"/>
    </row>
    <row r="664">
      <c r="A664" s="9"/>
      <c r="B664" s="42"/>
      <c r="C664" s="42"/>
      <c r="D664" s="42"/>
      <c r="E664" s="42"/>
      <c r="F664" s="42"/>
    </row>
    <row r="665">
      <c r="A665" s="9"/>
      <c r="B665" s="42"/>
      <c r="C665" s="42"/>
      <c r="D665" s="42"/>
      <c r="E665" s="42"/>
      <c r="F665" s="42"/>
    </row>
    <row r="666">
      <c r="A666" s="9"/>
      <c r="B666" s="42"/>
      <c r="C666" s="42"/>
      <c r="D666" s="42"/>
      <c r="E666" s="42"/>
      <c r="F666" s="42"/>
    </row>
    <row r="667">
      <c r="A667" s="9"/>
      <c r="B667" s="42"/>
      <c r="C667" s="42"/>
      <c r="D667" s="42"/>
      <c r="E667" s="42"/>
      <c r="F667" s="42"/>
    </row>
    <row r="668">
      <c r="A668" s="9"/>
      <c r="B668" s="42"/>
      <c r="C668" s="42"/>
      <c r="D668" s="42"/>
      <c r="E668" s="42"/>
      <c r="F668" s="42"/>
    </row>
    <row r="669">
      <c r="A669" s="9"/>
      <c r="B669" s="42"/>
      <c r="C669" s="42"/>
      <c r="D669" s="42"/>
      <c r="E669" s="42"/>
      <c r="F669" s="42"/>
    </row>
    <row r="670">
      <c r="A670" s="9"/>
      <c r="B670" s="42"/>
      <c r="C670" s="42"/>
      <c r="D670" s="42"/>
      <c r="E670" s="42"/>
      <c r="F670" s="42"/>
    </row>
    <row r="671">
      <c r="A671" s="9"/>
      <c r="B671" s="42"/>
      <c r="C671" s="42"/>
      <c r="D671" s="42"/>
      <c r="E671" s="42"/>
      <c r="F671" s="42"/>
    </row>
    <row r="672">
      <c r="A672" s="9"/>
      <c r="B672" s="42"/>
      <c r="C672" s="42"/>
      <c r="D672" s="42"/>
      <c r="E672" s="42"/>
      <c r="F672" s="42"/>
    </row>
    <row r="673">
      <c r="A673" s="9"/>
      <c r="B673" s="42"/>
      <c r="C673" s="42"/>
      <c r="D673" s="42"/>
      <c r="E673" s="42"/>
      <c r="F673" s="42"/>
    </row>
    <row r="674">
      <c r="A674" s="9"/>
      <c r="B674" s="42"/>
      <c r="C674" s="42"/>
      <c r="D674" s="42"/>
      <c r="E674" s="42"/>
      <c r="F674" s="42"/>
    </row>
    <row r="675">
      <c r="A675" s="9"/>
      <c r="B675" s="42"/>
      <c r="C675" s="42"/>
      <c r="D675" s="42"/>
      <c r="E675" s="42"/>
      <c r="F675" s="42"/>
    </row>
    <row r="676">
      <c r="A676" s="9"/>
      <c r="B676" s="42"/>
      <c r="C676" s="42"/>
      <c r="D676" s="42"/>
      <c r="E676" s="42"/>
      <c r="F676" s="42"/>
    </row>
    <row r="677">
      <c r="A677" s="9"/>
      <c r="B677" s="42"/>
      <c r="C677" s="42"/>
      <c r="D677" s="42"/>
      <c r="E677" s="42"/>
      <c r="F677" s="42"/>
    </row>
    <row r="678">
      <c r="A678" s="9"/>
      <c r="B678" s="42"/>
      <c r="C678" s="42"/>
      <c r="D678" s="42"/>
      <c r="E678" s="42"/>
      <c r="F678" s="42"/>
    </row>
    <row r="679">
      <c r="A679" s="9"/>
      <c r="B679" s="42"/>
      <c r="C679" s="42"/>
      <c r="D679" s="42"/>
      <c r="E679" s="42"/>
      <c r="F679" s="42"/>
    </row>
    <row r="680">
      <c r="A680" s="9"/>
      <c r="B680" s="42"/>
      <c r="C680" s="42"/>
      <c r="D680" s="42"/>
      <c r="E680" s="42"/>
      <c r="F680" s="42"/>
    </row>
    <row r="681">
      <c r="A681" s="9"/>
      <c r="B681" s="42"/>
      <c r="C681" s="42"/>
      <c r="D681" s="42"/>
      <c r="E681" s="42"/>
      <c r="F681" s="42"/>
    </row>
    <row r="682">
      <c r="A682" s="9"/>
      <c r="B682" s="42"/>
      <c r="C682" s="42"/>
      <c r="D682" s="42"/>
      <c r="E682" s="42"/>
      <c r="F682" s="42"/>
    </row>
    <row r="683">
      <c r="A683" s="9"/>
      <c r="B683" s="42"/>
      <c r="C683" s="42"/>
      <c r="D683" s="42"/>
      <c r="E683" s="42"/>
      <c r="F683" s="42"/>
    </row>
    <row r="684">
      <c r="A684" s="9"/>
      <c r="B684" s="42"/>
      <c r="C684" s="42"/>
      <c r="D684" s="42"/>
      <c r="E684" s="42"/>
      <c r="F684" s="42"/>
    </row>
    <row r="685">
      <c r="A685" s="9"/>
      <c r="B685" s="42"/>
      <c r="C685" s="42"/>
      <c r="D685" s="42"/>
      <c r="E685" s="42"/>
      <c r="F685" s="42"/>
    </row>
    <row r="686">
      <c r="A686" s="9"/>
      <c r="B686" s="42"/>
      <c r="C686" s="42"/>
      <c r="D686" s="42"/>
      <c r="E686" s="42"/>
      <c r="F686" s="42"/>
    </row>
    <row r="687">
      <c r="A687" s="9"/>
      <c r="B687" s="42"/>
      <c r="C687" s="42"/>
      <c r="D687" s="42"/>
      <c r="E687" s="42"/>
      <c r="F687" s="42"/>
    </row>
    <row r="688">
      <c r="A688" s="9"/>
      <c r="B688" s="42"/>
      <c r="C688" s="42"/>
      <c r="D688" s="42"/>
      <c r="E688" s="42"/>
      <c r="F688" s="42"/>
    </row>
    <row r="689">
      <c r="A689" s="9"/>
      <c r="B689" s="42"/>
      <c r="C689" s="42"/>
      <c r="D689" s="42"/>
      <c r="E689" s="42"/>
      <c r="F689" s="42"/>
    </row>
    <row r="690">
      <c r="A690" s="9"/>
      <c r="B690" s="42"/>
      <c r="C690" s="42"/>
      <c r="D690" s="42"/>
      <c r="E690" s="42"/>
      <c r="F690" s="42"/>
    </row>
    <row r="691">
      <c r="A691" s="9"/>
      <c r="B691" s="42"/>
      <c r="C691" s="42"/>
      <c r="D691" s="42"/>
      <c r="E691" s="42"/>
      <c r="F691" s="42"/>
    </row>
    <row r="692">
      <c r="A692" s="9"/>
      <c r="B692" s="42"/>
      <c r="C692" s="42"/>
      <c r="D692" s="42"/>
      <c r="E692" s="42"/>
      <c r="F692" s="42"/>
    </row>
    <row r="693">
      <c r="A693" s="9"/>
      <c r="B693" s="42"/>
      <c r="C693" s="42"/>
      <c r="D693" s="42"/>
      <c r="E693" s="42"/>
      <c r="F693" s="42"/>
    </row>
    <row r="694">
      <c r="A694" s="9"/>
      <c r="B694" s="42"/>
      <c r="C694" s="42"/>
      <c r="D694" s="42"/>
      <c r="E694" s="42"/>
      <c r="F694" s="42"/>
    </row>
    <row r="695">
      <c r="A695" s="9"/>
      <c r="B695" s="42"/>
      <c r="C695" s="42"/>
      <c r="D695" s="42"/>
      <c r="E695" s="42"/>
      <c r="F695" s="42"/>
    </row>
    <row r="696">
      <c r="A696" s="9"/>
      <c r="B696" s="42"/>
      <c r="C696" s="42"/>
      <c r="D696" s="42"/>
      <c r="E696" s="42"/>
      <c r="F696" s="42"/>
    </row>
    <row r="697">
      <c r="A697" s="9"/>
      <c r="B697" s="42"/>
      <c r="C697" s="42"/>
      <c r="D697" s="42"/>
      <c r="E697" s="42"/>
      <c r="F697" s="42"/>
    </row>
    <row r="698">
      <c r="A698" s="9"/>
      <c r="B698" s="42"/>
      <c r="C698" s="42"/>
      <c r="D698" s="42"/>
      <c r="E698" s="42"/>
      <c r="F698" s="42"/>
    </row>
    <row r="699">
      <c r="A699" s="9"/>
      <c r="B699" s="42"/>
      <c r="C699" s="42"/>
      <c r="D699" s="42"/>
      <c r="E699" s="42"/>
      <c r="F699" s="42"/>
    </row>
    <row r="700">
      <c r="A700" s="9"/>
      <c r="B700" s="42"/>
      <c r="C700" s="42"/>
      <c r="D700" s="42"/>
      <c r="E700" s="42"/>
      <c r="F700" s="42"/>
    </row>
    <row r="701">
      <c r="A701" s="9"/>
      <c r="B701" s="42"/>
      <c r="C701" s="42"/>
      <c r="D701" s="42"/>
      <c r="E701" s="42"/>
      <c r="F701" s="42"/>
    </row>
    <row r="702">
      <c r="A702" s="9"/>
      <c r="B702" s="42"/>
      <c r="C702" s="42"/>
      <c r="D702" s="42"/>
      <c r="E702" s="42"/>
      <c r="F702" s="42"/>
    </row>
    <row r="703">
      <c r="A703" s="9"/>
      <c r="B703" s="42"/>
      <c r="C703" s="42"/>
      <c r="D703" s="42"/>
      <c r="E703" s="42"/>
      <c r="F703" s="42"/>
    </row>
    <row r="704">
      <c r="A704" s="9"/>
      <c r="B704" s="42"/>
      <c r="C704" s="42"/>
      <c r="D704" s="42"/>
      <c r="E704" s="42"/>
      <c r="F704" s="42"/>
    </row>
    <row r="705">
      <c r="A705" s="9"/>
      <c r="B705" s="42"/>
      <c r="C705" s="42"/>
      <c r="D705" s="42"/>
      <c r="E705" s="42"/>
      <c r="F705" s="42"/>
    </row>
    <row r="706">
      <c r="A706" s="9"/>
      <c r="B706" s="42"/>
      <c r="C706" s="42"/>
      <c r="D706" s="42"/>
      <c r="E706" s="42"/>
      <c r="F706" s="42"/>
    </row>
    <row r="707">
      <c r="A707" s="9"/>
      <c r="B707" s="42"/>
      <c r="C707" s="42"/>
      <c r="D707" s="42"/>
      <c r="E707" s="42"/>
      <c r="F707" s="42"/>
    </row>
    <row r="708">
      <c r="A708" s="9"/>
      <c r="B708" s="42"/>
      <c r="C708" s="42"/>
      <c r="D708" s="42"/>
      <c r="E708" s="42"/>
      <c r="F708" s="42"/>
    </row>
    <row r="709">
      <c r="A709" s="9"/>
      <c r="B709" s="42"/>
      <c r="C709" s="42"/>
      <c r="D709" s="42"/>
      <c r="E709" s="42"/>
      <c r="F709" s="42"/>
    </row>
    <row r="710">
      <c r="A710" s="9"/>
      <c r="B710" s="42"/>
      <c r="C710" s="42"/>
      <c r="D710" s="42"/>
      <c r="E710" s="42"/>
      <c r="F710" s="42"/>
    </row>
    <row r="711">
      <c r="A711" s="9"/>
      <c r="B711" s="42"/>
      <c r="C711" s="42"/>
      <c r="D711" s="42"/>
      <c r="E711" s="42"/>
      <c r="F711" s="42"/>
    </row>
    <row r="712">
      <c r="A712" s="9"/>
      <c r="B712" s="42"/>
      <c r="C712" s="42"/>
      <c r="D712" s="42"/>
      <c r="E712" s="42"/>
      <c r="F712" s="42"/>
    </row>
    <row r="713">
      <c r="A713" s="9"/>
      <c r="B713" s="42"/>
      <c r="C713" s="42"/>
      <c r="D713" s="42"/>
      <c r="E713" s="42"/>
      <c r="F713" s="42"/>
    </row>
    <row r="714">
      <c r="A714" s="9"/>
      <c r="B714" s="42"/>
      <c r="C714" s="42"/>
      <c r="D714" s="42"/>
      <c r="E714" s="42"/>
      <c r="F714" s="42"/>
    </row>
    <row r="715">
      <c r="A715" s="9"/>
      <c r="B715" s="42"/>
      <c r="C715" s="42"/>
      <c r="D715" s="42"/>
      <c r="E715" s="42"/>
      <c r="F715" s="42"/>
    </row>
    <row r="716">
      <c r="A716" s="9"/>
      <c r="B716" s="42"/>
      <c r="C716" s="42"/>
      <c r="D716" s="42"/>
      <c r="E716" s="42"/>
      <c r="F716" s="42"/>
    </row>
    <row r="717">
      <c r="A717" s="9"/>
      <c r="B717" s="42"/>
      <c r="C717" s="42"/>
      <c r="D717" s="42"/>
      <c r="E717" s="42"/>
      <c r="F717" s="42"/>
    </row>
    <row r="718">
      <c r="A718" s="9"/>
      <c r="B718" s="42"/>
      <c r="C718" s="42"/>
      <c r="D718" s="42"/>
      <c r="E718" s="42"/>
      <c r="F718" s="42"/>
    </row>
    <row r="719">
      <c r="A719" s="9"/>
      <c r="B719" s="42"/>
      <c r="C719" s="42"/>
      <c r="D719" s="42"/>
      <c r="E719" s="42"/>
      <c r="F719" s="42"/>
    </row>
    <row r="720">
      <c r="A720" s="9"/>
      <c r="B720" s="42"/>
      <c r="C720" s="42"/>
      <c r="D720" s="42"/>
      <c r="E720" s="42"/>
      <c r="F720" s="42"/>
    </row>
    <row r="721">
      <c r="A721" s="9"/>
      <c r="B721" s="42"/>
      <c r="C721" s="42"/>
      <c r="D721" s="42"/>
      <c r="E721" s="42"/>
      <c r="F721" s="42"/>
    </row>
    <row r="722">
      <c r="A722" s="9"/>
      <c r="B722" s="42"/>
      <c r="C722" s="42"/>
      <c r="D722" s="42"/>
      <c r="E722" s="42"/>
      <c r="F722" s="42"/>
    </row>
    <row r="723">
      <c r="A723" s="9"/>
      <c r="B723" s="42"/>
      <c r="C723" s="42"/>
      <c r="D723" s="42"/>
      <c r="E723" s="42"/>
      <c r="F723" s="42"/>
    </row>
    <row r="724">
      <c r="A724" s="9"/>
      <c r="B724" s="42"/>
      <c r="C724" s="42"/>
      <c r="D724" s="42"/>
      <c r="E724" s="42"/>
      <c r="F724" s="42"/>
    </row>
    <row r="725">
      <c r="A725" s="9"/>
      <c r="B725" s="42"/>
      <c r="C725" s="42"/>
      <c r="D725" s="42"/>
      <c r="E725" s="42"/>
      <c r="F725" s="42"/>
    </row>
    <row r="726">
      <c r="A726" s="9"/>
      <c r="B726" s="42"/>
      <c r="C726" s="42"/>
      <c r="D726" s="42"/>
      <c r="E726" s="42"/>
      <c r="F726" s="42"/>
    </row>
    <row r="727">
      <c r="A727" s="9"/>
      <c r="B727" s="42"/>
      <c r="C727" s="42"/>
      <c r="D727" s="42"/>
      <c r="E727" s="42"/>
      <c r="F727" s="42"/>
    </row>
    <row r="728">
      <c r="A728" s="9"/>
      <c r="B728" s="42"/>
      <c r="C728" s="42"/>
      <c r="D728" s="42"/>
      <c r="E728" s="42"/>
      <c r="F728" s="42"/>
    </row>
    <row r="729">
      <c r="A729" s="9"/>
      <c r="B729" s="42"/>
      <c r="C729" s="42"/>
      <c r="D729" s="42"/>
      <c r="E729" s="42"/>
      <c r="F729" s="42"/>
    </row>
    <row r="730">
      <c r="A730" s="9"/>
      <c r="B730" s="42"/>
      <c r="C730" s="42"/>
      <c r="D730" s="42"/>
      <c r="E730" s="42"/>
      <c r="F730" s="42"/>
    </row>
    <row r="731">
      <c r="A731" s="9"/>
      <c r="B731" s="42"/>
      <c r="C731" s="42"/>
      <c r="D731" s="42"/>
      <c r="E731" s="42"/>
      <c r="F731" s="42"/>
    </row>
    <row r="732">
      <c r="A732" s="9"/>
      <c r="B732" s="42"/>
      <c r="C732" s="42"/>
      <c r="D732" s="42"/>
      <c r="E732" s="42"/>
      <c r="F732" s="42"/>
    </row>
    <row r="733">
      <c r="A733" s="9"/>
      <c r="B733" s="42"/>
      <c r="C733" s="42"/>
      <c r="D733" s="42"/>
      <c r="E733" s="42"/>
      <c r="F733" s="42"/>
    </row>
    <row r="734">
      <c r="A734" s="9"/>
      <c r="B734" s="42"/>
      <c r="C734" s="42"/>
      <c r="D734" s="42"/>
      <c r="E734" s="42"/>
      <c r="F734" s="42"/>
    </row>
    <row r="735">
      <c r="A735" s="9"/>
      <c r="B735" s="42"/>
      <c r="C735" s="42"/>
      <c r="D735" s="42"/>
      <c r="E735" s="42"/>
      <c r="F735" s="42"/>
    </row>
    <row r="736">
      <c r="A736" s="9"/>
      <c r="B736" s="42"/>
      <c r="C736" s="42"/>
      <c r="D736" s="42"/>
      <c r="E736" s="42"/>
      <c r="F736" s="42"/>
    </row>
    <row r="737">
      <c r="A737" s="9"/>
      <c r="B737" s="42"/>
      <c r="C737" s="42"/>
      <c r="D737" s="42"/>
      <c r="E737" s="42"/>
      <c r="F737" s="42"/>
    </row>
    <row r="738">
      <c r="A738" s="9"/>
      <c r="B738" s="42"/>
      <c r="C738" s="42"/>
      <c r="D738" s="42"/>
      <c r="E738" s="42"/>
      <c r="F738" s="42"/>
    </row>
    <row r="739">
      <c r="A739" s="9"/>
      <c r="B739" s="42"/>
      <c r="C739" s="42"/>
      <c r="D739" s="42"/>
      <c r="E739" s="42"/>
      <c r="F739" s="42"/>
    </row>
    <row r="740">
      <c r="A740" s="9"/>
      <c r="B740" s="42"/>
      <c r="C740" s="42"/>
      <c r="D740" s="42"/>
      <c r="E740" s="42"/>
      <c r="F740" s="42"/>
    </row>
    <row r="741">
      <c r="A741" s="9"/>
      <c r="B741" s="42"/>
      <c r="C741" s="42"/>
      <c r="D741" s="42"/>
      <c r="E741" s="42"/>
      <c r="F741" s="42"/>
    </row>
    <row r="742">
      <c r="A742" s="9"/>
      <c r="B742" s="42"/>
      <c r="C742" s="42"/>
      <c r="D742" s="42"/>
      <c r="E742" s="42"/>
      <c r="F742" s="42"/>
    </row>
    <row r="743">
      <c r="A743" s="9"/>
      <c r="B743" s="42"/>
      <c r="C743" s="42"/>
      <c r="D743" s="42"/>
      <c r="E743" s="42"/>
      <c r="F743" s="42"/>
    </row>
    <row r="744">
      <c r="A744" s="9"/>
      <c r="B744" s="42"/>
      <c r="C744" s="42"/>
      <c r="D744" s="42"/>
      <c r="E744" s="42"/>
      <c r="F744" s="42"/>
    </row>
    <row r="745">
      <c r="A745" s="9"/>
      <c r="B745" s="42"/>
      <c r="C745" s="42"/>
      <c r="D745" s="42"/>
      <c r="E745" s="42"/>
      <c r="F745" s="42"/>
    </row>
    <row r="746">
      <c r="A746" s="9"/>
      <c r="B746" s="42"/>
      <c r="C746" s="42"/>
      <c r="D746" s="42"/>
      <c r="E746" s="42"/>
      <c r="F746" s="42"/>
    </row>
    <row r="747">
      <c r="A747" s="9"/>
      <c r="B747" s="42"/>
      <c r="C747" s="42"/>
      <c r="D747" s="42"/>
      <c r="E747" s="42"/>
      <c r="F747" s="42"/>
    </row>
    <row r="748">
      <c r="A748" s="9"/>
      <c r="B748" s="42"/>
      <c r="C748" s="42"/>
      <c r="D748" s="42"/>
      <c r="E748" s="42"/>
      <c r="F748" s="42"/>
    </row>
    <row r="749">
      <c r="A749" s="9"/>
      <c r="B749" s="42"/>
      <c r="C749" s="42"/>
      <c r="D749" s="42"/>
      <c r="E749" s="42"/>
      <c r="F749" s="42"/>
    </row>
    <row r="750">
      <c r="A750" s="9"/>
      <c r="B750" s="42"/>
      <c r="C750" s="42"/>
      <c r="D750" s="42"/>
      <c r="E750" s="42"/>
      <c r="F750" s="42"/>
    </row>
    <row r="751">
      <c r="A751" s="9"/>
      <c r="B751" s="42"/>
      <c r="C751" s="42"/>
      <c r="D751" s="42"/>
      <c r="E751" s="42"/>
      <c r="F751" s="42"/>
    </row>
    <row r="752">
      <c r="A752" s="9"/>
      <c r="B752" s="42"/>
      <c r="C752" s="42"/>
      <c r="D752" s="42"/>
      <c r="E752" s="42"/>
      <c r="F752" s="42"/>
    </row>
    <row r="753">
      <c r="A753" s="9"/>
      <c r="B753" s="42"/>
      <c r="C753" s="42"/>
      <c r="D753" s="42"/>
      <c r="E753" s="42"/>
      <c r="F753" s="42"/>
    </row>
    <row r="754">
      <c r="A754" s="9"/>
      <c r="B754" s="42"/>
      <c r="C754" s="42"/>
      <c r="D754" s="42"/>
      <c r="E754" s="42"/>
      <c r="F754" s="42"/>
    </row>
    <row r="755">
      <c r="A755" s="9"/>
      <c r="B755" s="42"/>
      <c r="C755" s="42"/>
      <c r="D755" s="42"/>
      <c r="E755" s="42"/>
      <c r="F755" s="42"/>
    </row>
    <row r="756">
      <c r="A756" s="9"/>
      <c r="B756" s="42"/>
      <c r="C756" s="42"/>
      <c r="D756" s="42"/>
      <c r="E756" s="42"/>
      <c r="F756" s="42"/>
    </row>
    <row r="757">
      <c r="A757" s="9"/>
      <c r="B757" s="42"/>
      <c r="C757" s="42"/>
      <c r="D757" s="42"/>
      <c r="E757" s="42"/>
      <c r="F757" s="42"/>
    </row>
    <row r="758">
      <c r="A758" s="9"/>
      <c r="B758" s="42"/>
      <c r="C758" s="42"/>
      <c r="D758" s="42"/>
      <c r="E758" s="42"/>
      <c r="F758" s="42"/>
    </row>
    <row r="759">
      <c r="A759" s="9"/>
      <c r="B759" s="42"/>
      <c r="C759" s="42"/>
      <c r="D759" s="42"/>
      <c r="E759" s="42"/>
      <c r="F759" s="42"/>
    </row>
    <row r="760">
      <c r="A760" s="9"/>
      <c r="B760" s="42"/>
      <c r="C760" s="42"/>
      <c r="D760" s="42"/>
      <c r="E760" s="42"/>
      <c r="F760" s="42"/>
    </row>
    <row r="761">
      <c r="A761" s="9"/>
      <c r="B761" s="42"/>
      <c r="C761" s="42"/>
      <c r="D761" s="42"/>
      <c r="E761" s="42"/>
      <c r="F761" s="42"/>
    </row>
    <row r="762">
      <c r="A762" s="9"/>
      <c r="B762" s="42"/>
      <c r="C762" s="42"/>
      <c r="D762" s="42"/>
      <c r="E762" s="42"/>
      <c r="F762" s="42"/>
    </row>
    <row r="763">
      <c r="A763" s="9"/>
      <c r="B763" s="42"/>
      <c r="C763" s="42"/>
      <c r="D763" s="42"/>
      <c r="E763" s="42"/>
      <c r="F763" s="42"/>
    </row>
    <row r="764">
      <c r="A764" s="9"/>
      <c r="B764" s="42"/>
      <c r="C764" s="42"/>
      <c r="D764" s="42"/>
      <c r="E764" s="42"/>
      <c r="F764" s="42"/>
    </row>
    <row r="765">
      <c r="A765" s="9"/>
      <c r="B765" s="42"/>
      <c r="C765" s="42"/>
      <c r="D765" s="42"/>
      <c r="E765" s="42"/>
      <c r="F765" s="42"/>
    </row>
    <row r="766">
      <c r="A766" s="9"/>
      <c r="B766" s="42"/>
      <c r="C766" s="42"/>
      <c r="D766" s="42"/>
      <c r="E766" s="42"/>
      <c r="F766" s="42"/>
    </row>
    <row r="767">
      <c r="A767" s="9"/>
      <c r="B767" s="42"/>
      <c r="C767" s="42"/>
      <c r="D767" s="42"/>
      <c r="E767" s="42"/>
      <c r="F767" s="42"/>
    </row>
    <row r="768">
      <c r="A768" s="9"/>
      <c r="B768" s="42"/>
      <c r="C768" s="42"/>
      <c r="D768" s="42"/>
      <c r="E768" s="42"/>
      <c r="F768" s="42"/>
    </row>
    <row r="769">
      <c r="A769" s="9"/>
      <c r="B769" s="42"/>
      <c r="C769" s="42"/>
      <c r="D769" s="42"/>
      <c r="E769" s="42"/>
      <c r="F769" s="42"/>
    </row>
    <row r="770">
      <c r="A770" s="9"/>
      <c r="B770" s="42"/>
      <c r="C770" s="42"/>
      <c r="D770" s="42"/>
      <c r="E770" s="42"/>
      <c r="F770" s="42"/>
    </row>
    <row r="771">
      <c r="A771" s="9"/>
      <c r="B771" s="42"/>
      <c r="C771" s="42"/>
      <c r="D771" s="42"/>
      <c r="E771" s="42"/>
      <c r="F771" s="42"/>
    </row>
    <row r="772">
      <c r="A772" s="9"/>
      <c r="B772" s="42"/>
      <c r="C772" s="42"/>
      <c r="D772" s="42"/>
      <c r="E772" s="42"/>
      <c r="F772" s="42"/>
    </row>
    <row r="773">
      <c r="A773" s="9"/>
      <c r="B773" s="42"/>
      <c r="C773" s="42"/>
      <c r="D773" s="42"/>
      <c r="E773" s="42"/>
      <c r="F773" s="42"/>
    </row>
    <row r="774">
      <c r="A774" s="9"/>
      <c r="B774" s="42"/>
      <c r="C774" s="42"/>
      <c r="D774" s="42"/>
      <c r="E774" s="42"/>
      <c r="F774" s="42"/>
    </row>
    <row r="775">
      <c r="A775" s="9"/>
      <c r="B775" s="42"/>
      <c r="C775" s="42"/>
      <c r="D775" s="42"/>
      <c r="E775" s="42"/>
      <c r="F775" s="42"/>
    </row>
    <row r="776">
      <c r="A776" s="9"/>
      <c r="B776" s="42"/>
      <c r="C776" s="42"/>
      <c r="D776" s="42"/>
      <c r="E776" s="42"/>
      <c r="F776" s="42"/>
    </row>
    <row r="777">
      <c r="A777" s="9"/>
      <c r="B777" s="42"/>
      <c r="C777" s="42"/>
      <c r="D777" s="42"/>
      <c r="E777" s="42"/>
      <c r="F777" s="42"/>
    </row>
    <row r="778">
      <c r="A778" s="9"/>
      <c r="B778" s="42"/>
      <c r="C778" s="42"/>
      <c r="D778" s="42"/>
      <c r="E778" s="42"/>
      <c r="F778" s="42"/>
    </row>
    <row r="779">
      <c r="A779" s="9"/>
      <c r="B779" s="42"/>
      <c r="C779" s="42"/>
      <c r="D779" s="42"/>
      <c r="E779" s="42"/>
      <c r="F779" s="42"/>
    </row>
    <row r="780">
      <c r="A780" s="9"/>
      <c r="B780" s="42"/>
      <c r="C780" s="42"/>
      <c r="D780" s="42"/>
      <c r="E780" s="42"/>
      <c r="F780" s="42"/>
    </row>
    <row r="781">
      <c r="A781" s="9"/>
      <c r="B781" s="42"/>
      <c r="C781" s="42"/>
      <c r="D781" s="42"/>
      <c r="E781" s="42"/>
      <c r="F781" s="42"/>
    </row>
    <row r="782">
      <c r="A782" s="9"/>
      <c r="B782" s="42"/>
      <c r="C782" s="42"/>
      <c r="D782" s="42"/>
      <c r="E782" s="42"/>
      <c r="F782" s="42"/>
    </row>
    <row r="783">
      <c r="A783" s="9"/>
      <c r="B783" s="42"/>
      <c r="C783" s="42"/>
      <c r="D783" s="42"/>
      <c r="E783" s="42"/>
      <c r="F783" s="42"/>
    </row>
    <row r="784">
      <c r="A784" s="9"/>
      <c r="B784" s="42"/>
      <c r="C784" s="42"/>
      <c r="D784" s="42"/>
      <c r="E784" s="42"/>
      <c r="F784" s="42"/>
    </row>
    <row r="785">
      <c r="A785" s="9"/>
      <c r="B785" s="42"/>
      <c r="C785" s="42"/>
      <c r="D785" s="42"/>
      <c r="E785" s="42"/>
      <c r="F785" s="42"/>
    </row>
    <row r="786">
      <c r="A786" s="9"/>
      <c r="B786" s="42"/>
      <c r="C786" s="42"/>
      <c r="D786" s="42"/>
      <c r="E786" s="42"/>
      <c r="F786" s="42"/>
    </row>
    <row r="787">
      <c r="A787" s="9"/>
      <c r="B787" s="42"/>
      <c r="C787" s="42"/>
      <c r="D787" s="42"/>
      <c r="E787" s="42"/>
      <c r="F787" s="42"/>
    </row>
    <row r="788">
      <c r="A788" s="9"/>
      <c r="B788" s="42"/>
      <c r="C788" s="42"/>
      <c r="D788" s="42"/>
      <c r="E788" s="42"/>
      <c r="F788" s="42"/>
    </row>
    <row r="789">
      <c r="A789" s="9"/>
      <c r="B789" s="42"/>
      <c r="C789" s="42"/>
      <c r="D789" s="42"/>
      <c r="E789" s="42"/>
      <c r="F789" s="42"/>
    </row>
    <row r="790">
      <c r="A790" s="9"/>
      <c r="B790" s="42"/>
      <c r="C790" s="42"/>
      <c r="D790" s="42"/>
      <c r="E790" s="42"/>
      <c r="F790" s="42"/>
    </row>
    <row r="791">
      <c r="A791" s="9"/>
      <c r="B791" s="42"/>
      <c r="C791" s="42"/>
      <c r="D791" s="42"/>
      <c r="E791" s="42"/>
      <c r="F791" s="42"/>
    </row>
    <row r="792">
      <c r="A792" s="9"/>
      <c r="B792" s="42"/>
      <c r="C792" s="42"/>
      <c r="D792" s="42"/>
      <c r="E792" s="42"/>
      <c r="F792" s="42"/>
    </row>
    <row r="793">
      <c r="A793" s="9"/>
      <c r="B793" s="42"/>
      <c r="C793" s="42"/>
      <c r="D793" s="42"/>
      <c r="E793" s="42"/>
      <c r="F793" s="42"/>
    </row>
    <row r="794">
      <c r="A794" s="9"/>
      <c r="B794" s="42"/>
      <c r="C794" s="42"/>
      <c r="D794" s="42"/>
      <c r="E794" s="42"/>
      <c r="F794" s="42"/>
    </row>
    <row r="795">
      <c r="A795" s="9"/>
      <c r="B795" s="42"/>
      <c r="C795" s="42"/>
      <c r="D795" s="42"/>
      <c r="E795" s="42"/>
      <c r="F795" s="42"/>
    </row>
    <row r="796">
      <c r="A796" s="9"/>
      <c r="B796" s="42"/>
      <c r="C796" s="42"/>
      <c r="D796" s="42"/>
      <c r="E796" s="42"/>
      <c r="F796" s="42"/>
    </row>
    <row r="797">
      <c r="A797" s="9"/>
      <c r="B797" s="42"/>
      <c r="C797" s="42"/>
      <c r="D797" s="42"/>
      <c r="E797" s="42"/>
      <c r="F797" s="42"/>
    </row>
    <row r="798">
      <c r="A798" s="9"/>
      <c r="B798" s="42"/>
      <c r="C798" s="42"/>
      <c r="D798" s="42"/>
      <c r="E798" s="42"/>
      <c r="F798" s="42"/>
    </row>
    <row r="799">
      <c r="A799" s="9"/>
      <c r="B799" s="42"/>
      <c r="C799" s="42"/>
      <c r="D799" s="42"/>
      <c r="E799" s="42"/>
      <c r="F799" s="42"/>
    </row>
    <row r="800">
      <c r="A800" s="9"/>
      <c r="B800" s="42"/>
      <c r="C800" s="42"/>
      <c r="D800" s="42"/>
      <c r="E800" s="42"/>
      <c r="F800" s="42"/>
    </row>
    <row r="801">
      <c r="A801" s="9"/>
      <c r="B801" s="42"/>
      <c r="C801" s="42"/>
      <c r="D801" s="42"/>
      <c r="E801" s="42"/>
      <c r="F801" s="42"/>
    </row>
    <row r="802">
      <c r="A802" s="9"/>
      <c r="B802" s="42"/>
      <c r="C802" s="42"/>
      <c r="D802" s="42"/>
      <c r="E802" s="42"/>
      <c r="F802" s="42"/>
    </row>
    <row r="803">
      <c r="A803" s="9"/>
      <c r="B803" s="42"/>
      <c r="C803" s="42"/>
      <c r="D803" s="42"/>
      <c r="E803" s="42"/>
      <c r="F803" s="42"/>
    </row>
    <row r="804">
      <c r="A804" s="9"/>
      <c r="B804" s="42"/>
      <c r="C804" s="42"/>
      <c r="D804" s="42"/>
      <c r="E804" s="42"/>
      <c r="F804" s="42"/>
    </row>
    <row r="805">
      <c r="A805" s="9"/>
      <c r="B805" s="42"/>
      <c r="C805" s="42"/>
      <c r="D805" s="42"/>
      <c r="E805" s="42"/>
      <c r="F805" s="42"/>
    </row>
    <row r="806">
      <c r="A806" s="9"/>
      <c r="B806" s="42"/>
      <c r="C806" s="42"/>
      <c r="D806" s="42"/>
      <c r="E806" s="42"/>
      <c r="F806" s="42"/>
    </row>
    <row r="807">
      <c r="A807" s="9"/>
      <c r="B807" s="42"/>
      <c r="C807" s="42"/>
      <c r="D807" s="42"/>
      <c r="E807" s="42"/>
      <c r="F807" s="42"/>
    </row>
    <row r="808">
      <c r="A808" s="9"/>
      <c r="B808" s="42"/>
      <c r="C808" s="42"/>
      <c r="D808" s="42"/>
      <c r="E808" s="42"/>
      <c r="F808" s="42"/>
    </row>
    <row r="809">
      <c r="A809" s="9"/>
      <c r="B809" s="42"/>
      <c r="C809" s="42"/>
      <c r="D809" s="42"/>
      <c r="E809" s="42"/>
      <c r="F809" s="42"/>
    </row>
    <row r="810">
      <c r="A810" s="9"/>
      <c r="B810" s="42"/>
      <c r="C810" s="42"/>
      <c r="D810" s="42"/>
      <c r="E810" s="42"/>
      <c r="F810" s="42"/>
    </row>
    <row r="811">
      <c r="A811" s="9"/>
      <c r="B811" s="42"/>
      <c r="C811" s="42"/>
      <c r="D811" s="42"/>
      <c r="E811" s="42"/>
      <c r="F811" s="42"/>
    </row>
    <row r="812">
      <c r="A812" s="9"/>
      <c r="B812" s="42"/>
      <c r="C812" s="42"/>
      <c r="D812" s="42"/>
      <c r="E812" s="42"/>
      <c r="F812" s="42"/>
    </row>
    <row r="813">
      <c r="A813" s="9"/>
      <c r="B813" s="42"/>
      <c r="C813" s="42"/>
      <c r="D813" s="42"/>
      <c r="E813" s="42"/>
      <c r="F813" s="42"/>
    </row>
    <row r="814">
      <c r="A814" s="9"/>
      <c r="B814" s="42"/>
      <c r="C814" s="42"/>
      <c r="D814" s="42"/>
      <c r="E814" s="42"/>
      <c r="F814" s="42"/>
    </row>
    <row r="815">
      <c r="A815" s="9"/>
      <c r="B815" s="42"/>
      <c r="C815" s="42"/>
      <c r="D815" s="42"/>
      <c r="E815" s="42"/>
      <c r="F815" s="42"/>
    </row>
    <row r="816">
      <c r="A816" s="9"/>
      <c r="B816" s="42"/>
      <c r="C816" s="42"/>
      <c r="D816" s="42"/>
      <c r="E816" s="42"/>
      <c r="F816" s="42"/>
    </row>
    <row r="817">
      <c r="A817" s="9"/>
      <c r="B817" s="42"/>
      <c r="C817" s="42"/>
      <c r="D817" s="42"/>
      <c r="E817" s="42"/>
      <c r="F817" s="42"/>
    </row>
    <row r="818">
      <c r="A818" s="9"/>
      <c r="B818" s="42"/>
      <c r="C818" s="42"/>
      <c r="D818" s="42"/>
      <c r="E818" s="42"/>
      <c r="F818" s="42"/>
    </row>
    <row r="819">
      <c r="A819" s="9"/>
      <c r="B819" s="42"/>
      <c r="C819" s="42"/>
      <c r="D819" s="42"/>
      <c r="E819" s="42"/>
      <c r="F819" s="42"/>
    </row>
    <row r="820">
      <c r="A820" s="9"/>
      <c r="B820" s="42"/>
      <c r="C820" s="42"/>
      <c r="D820" s="42"/>
      <c r="E820" s="42"/>
      <c r="F820" s="42"/>
    </row>
    <row r="821">
      <c r="A821" s="9"/>
      <c r="B821" s="42"/>
      <c r="C821" s="42"/>
      <c r="D821" s="42"/>
      <c r="E821" s="42"/>
      <c r="F821" s="42"/>
    </row>
    <row r="822">
      <c r="A822" s="9"/>
      <c r="B822" s="42"/>
      <c r="C822" s="42"/>
      <c r="D822" s="42"/>
      <c r="E822" s="42"/>
      <c r="F822" s="42"/>
    </row>
    <row r="823">
      <c r="A823" s="9"/>
      <c r="B823" s="42"/>
      <c r="C823" s="42"/>
      <c r="D823" s="42"/>
      <c r="E823" s="42"/>
      <c r="F823" s="42"/>
    </row>
    <row r="824">
      <c r="A824" s="9"/>
      <c r="B824" s="42"/>
      <c r="C824" s="42"/>
      <c r="D824" s="42"/>
      <c r="E824" s="42"/>
      <c r="F824" s="42"/>
    </row>
    <row r="825">
      <c r="A825" s="9"/>
      <c r="B825" s="42"/>
      <c r="C825" s="42"/>
      <c r="D825" s="42"/>
      <c r="E825" s="42"/>
      <c r="F825" s="42"/>
    </row>
    <row r="826">
      <c r="A826" s="9"/>
      <c r="B826" s="42"/>
      <c r="C826" s="42"/>
      <c r="D826" s="42"/>
      <c r="E826" s="42"/>
      <c r="F826" s="42"/>
    </row>
    <row r="827">
      <c r="A827" s="9"/>
      <c r="B827" s="42"/>
      <c r="C827" s="42"/>
      <c r="D827" s="42"/>
      <c r="E827" s="42"/>
      <c r="F827" s="42"/>
    </row>
    <row r="828">
      <c r="A828" s="9"/>
      <c r="B828" s="42"/>
      <c r="C828" s="42"/>
      <c r="D828" s="42"/>
      <c r="E828" s="42"/>
      <c r="F828" s="42"/>
    </row>
    <row r="829">
      <c r="A829" s="9"/>
      <c r="B829" s="42"/>
      <c r="C829" s="42"/>
      <c r="D829" s="42"/>
      <c r="E829" s="42"/>
      <c r="F829" s="42"/>
    </row>
    <row r="830">
      <c r="A830" s="9"/>
      <c r="B830" s="42"/>
      <c r="C830" s="42"/>
      <c r="D830" s="42"/>
      <c r="E830" s="42"/>
      <c r="F830" s="42"/>
    </row>
    <row r="831">
      <c r="A831" s="9"/>
      <c r="B831" s="42"/>
      <c r="C831" s="42"/>
      <c r="D831" s="42"/>
      <c r="E831" s="42"/>
      <c r="F831" s="42"/>
    </row>
    <row r="832">
      <c r="A832" s="9"/>
      <c r="B832" s="42"/>
      <c r="C832" s="42"/>
      <c r="D832" s="42"/>
      <c r="E832" s="42"/>
      <c r="F832" s="42"/>
    </row>
    <row r="833">
      <c r="A833" s="9"/>
      <c r="B833" s="42"/>
      <c r="C833" s="42"/>
      <c r="D833" s="42"/>
      <c r="E833" s="42"/>
      <c r="F833" s="42"/>
    </row>
    <row r="834">
      <c r="A834" s="9"/>
      <c r="B834" s="42"/>
      <c r="C834" s="42"/>
      <c r="D834" s="42"/>
      <c r="E834" s="42"/>
      <c r="F834" s="42"/>
    </row>
    <row r="835">
      <c r="A835" s="9"/>
      <c r="B835" s="42"/>
      <c r="C835" s="42"/>
      <c r="D835" s="42"/>
      <c r="E835" s="42"/>
      <c r="F835" s="42"/>
    </row>
    <row r="836">
      <c r="A836" s="9"/>
      <c r="B836" s="42"/>
      <c r="C836" s="42"/>
      <c r="D836" s="42"/>
      <c r="E836" s="42"/>
      <c r="F836" s="42"/>
    </row>
    <row r="837">
      <c r="A837" s="9"/>
      <c r="B837" s="42"/>
      <c r="C837" s="42"/>
      <c r="D837" s="42"/>
      <c r="E837" s="42"/>
      <c r="F837" s="42"/>
    </row>
    <row r="838">
      <c r="A838" s="9"/>
      <c r="B838" s="42"/>
      <c r="C838" s="42"/>
      <c r="D838" s="42"/>
      <c r="E838" s="42"/>
      <c r="F838" s="42"/>
    </row>
    <row r="839">
      <c r="A839" s="9"/>
      <c r="B839" s="42"/>
      <c r="C839" s="42"/>
      <c r="D839" s="42"/>
      <c r="E839" s="42"/>
      <c r="F839" s="42"/>
    </row>
    <row r="840">
      <c r="A840" s="9"/>
      <c r="B840" s="42"/>
      <c r="C840" s="42"/>
      <c r="D840" s="42"/>
      <c r="E840" s="42"/>
      <c r="F840" s="42"/>
    </row>
    <row r="841">
      <c r="A841" s="9"/>
      <c r="B841" s="42"/>
      <c r="C841" s="42"/>
      <c r="D841" s="42"/>
      <c r="E841" s="42"/>
      <c r="F841" s="42"/>
    </row>
    <row r="842">
      <c r="A842" s="9"/>
      <c r="B842" s="42"/>
      <c r="C842" s="42"/>
      <c r="D842" s="42"/>
      <c r="E842" s="42"/>
      <c r="F842" s="42"/>
    </row>
    <row r="843">
      <c r="A843" s="9"/>
      <c r="B843" s="42"/>
      <c r="C843" s="42"/>
      <c r="D843" s="42"/>
      <c r="E843" s="42"/>
      <c r="F843" s="42"/>
    </row>
    <row r="844">
      <c r="A844" s="9"/>
      <c r="B844" s="42"/>
      <c r="C844" s="42"/>
      <c r="D844" s="42"/>
      <c r="E844" s="42"/>
      <c r="F844" s="42"/>
    </row>
    <row r="845">
      <c r="A845" s="9"/>
      <c r="B845" s="42"/>
      <c r="C845" s="42"/>
      <c r="D845" s="42"/>
      <c r="E845" s="42"/>
      <c r="F845" s="42"/>
    </row>
    <row r="846">
      <c r="A846" s="9"/>
      <c r="B846" s="42"/>
      <c r="C846" s="42"/>
      <c r="D846" s="42"/>
      <c r="E846" s="42"/>
      <c r="F846" s="42"/>
    </row>
    <row r="847">
      <c r="A847" s="9"/>
      <c r="B847" s="42"/>
      <c r="C847" s="42"/>
      <c r="D847" s="42"/>
      <c r="E847" s="42"/>
      <c r="F847" s="42"/>
    </row>
    <row r="848">
      <c r="A848" s="9"/>
      <c r="B848" s="42"/>
      <c r="C848" s="42"/>
      <c r="D848" s="42"/>
      <c r="E848" s="42"/>
      <c r="F848" s="42"/>
    </row>
    <row r="849">
      <c r="A849" s="9"/>
      <c r="B849" s="42"/>
      <c r="C849" s="42"/>
      <c r="D849" s="42"/>
      <c r="E849" s="42"/>
      <c r="F849" s="42"/>
    </row>
    <row r="850">
      <c r="A850" s="9"/>
      <c r="B850" s="42"/>
      <c r="C850" s="42"/>
      <c r="D850" s="42"/>
      <c r="E850" s="42"/>
      <c r="F850" s="42"/>
    </row>
    <row r="851">
      <c r="A851" s="9"/>
      <c r="B851" s="42"/>
      <c r="C851" s="42"/>
      <c r="D851" s="42"/>
      <c r="E851" s="42"/>
      <c r="F851" s="42"/>
    </row>
    <row r="852">
      <c r="A852" s="9"/>
      <c r="B852" s="42"/>
      <c r="C852" s="42"/>
      <c r="D852" s="42"/>
      <c r="E852" s="42"/>
      <c r="F852" s="42"/>
    </row>
    <row r="853">
      <c r="A853" s="9"/>
      <c r="B853" s="42"/>
      <c r="C853" s="42"/>
      <c r="D853" s="42"/>
      <c r="E853" s="42"/>
      <c r="F853" s="42"/>
    </row>
    <row r="854">
      <c r="A854" s="9"/>
      <c r="B854" s="42"/>
      <c r="C854" s="42"/>
      <c r="D854" s="42"/>
      <c r="E854" s="42"/>
      <c r="F854" s="42"/>
    </row>
    <row r="855">
      <c r="A855" s="9"/>
      <c r="B855" s="42"/>
      <c r="C855" s="42"/>
      <c r="D855" s="42"/>
      <c r="E855" s="42"/>
      <c r="F855" s="42"/>
    </row>
    <row r="856">
      <c r="A856" s="9"/>
      <c r="B856" s="42"/>
      <c r="C856" s="42"/>
      <c r="D856" s="42"/>
      <c r="E856" s="42"/>
      <c r="F856" s="42"/>
    </row>
    <row r="857">
      <c r="A857" s="9"/>
      <c r="B857" s="42"/>
      <c r="C857" s="42"/>
      <c r="D857" s="42"/>
      <c r="E857" s="42"/>
      <c r="F857" s="42"/>
    </row>
    <row r="858">
      <c r="A858" s="9"/>
      <c r="B858" s="42"/>
      <c r="C858" s="42"/>
      <c r="D858" s="42"/>
      <c r="E858" s="42"/>
      <c r="F858" s="42"/>
    </row>
    <row r="859">
      <c r="A859" s="9"/>
      <c r="B859" s="42"/>
      <c r="C859" s="42"/>
      <c r="D859" s="42"/>
      <c r="E859" s="42"/>
      <c r="F859" s="42"/>
    </row>
    <row r="860">
      <c r="A860" s="9"/>
      <c r="B860" s="42"/>
      <c r="C860" s="42"/>
      <c r="D860" s="42"/>
      <c r="E860" s="42"/>
      <c r="F860" s="42"/>
    </row>
    <row r="861">
      <c r="A861" s="9"/>
      <c r="B861" s="42"/>
      <c r="C861" s="42"/>
      <c r="D861" s="42"/>
      <c r="E861" s="42"/>
      <c r="F861" s="42"/>
    </row>
    <row r="862">
      <c r="A862" s="9"/>
      <c r="B862" s="42"/>
      <c r="C862" s="42"/>
      <c r="D862" s="42"/>
      <c r="E862" s="42"/>
      <c r="F862" s="42"/>
    </row>
    <row r="863">
      <c r="A863" s="9"/>
      <c r="B863" s="42"/>
      <c r="C863" s="42"/>
      <c r="D863" s="42"/>
      <c r="E863" s="42"/>
      <c r="F863" s="42"/>
    </row>
    <row r="864">
      <c r="A864" s="9"/>
      <c r="B864" s="42"/>
      <c r="C864" s="42"/>
      <c r="D864" s="42"/>
      <c r="E864" s="42"/>
      <c r="F864" s="42"/>
    </row>
    <row r="865">
      <c r="A865" s="9"/>
      <c r="B865" s="42"/>
      <c r="C865" s="42"/>
      <c r="D865" s="42"/>
      <c r="E865" s="42"/>
      <c r="F865" s="42"/>
    </row>
    <row r="866">
      <c r="A866" s="9"/>
      <c r="B866" s="42"/>
      <c r="C866" s="42"/>
      <c r="D866" s="42"/>
      <c r="E866" s="42"/>
      <c r="F866" s="42"/>
    </row>
    <row r="867">
      <c r="A867" s="9"/>
      <c r="B867" s="42"/>
      <c r="C867" s="42"/>
      <c r="D867" s="42"/>
      <c r="E867" s="42"/>
      <c r="F867" s="42"/>
    </row>
    <row r="868">
      <c r="A868" s="9"/>
      <c r="B868" s="42"/>
      <c r="C868" s="42"/>
      <c r="D868" s="42"/>
      <c r="E868" s="42"/>
      <c r="F868" s="42"/>
    </row>
    <row r="869">
      <c r="A869" s="9"/>
      <c r="B869" s="42"/>
      <c r="C869" s="42"/>
      <c r="D869" s="42"/>
      <c r="E869" s="42"/>
      <c r="F869" s="42"/>
    </row>
    <row r="870">
      <c r="A870" s="9"/>
      <c r="B870" s="42"/>
      <c r="C870" s="42"/>
      <c r="D870" s="42"/>
      <c r="E870" s="42"/>
      <c r="F870" s="42"/>
    </row>
    <row r="871">
      <c r="A871" s="9"/>
      <c r="B871" s="42"/>
      <c r="C871" s="42"/>
      <c r="D871" s="42"/>
      <c r="E871" s="42"/>
      <c r="F871" s="42"/>
    </row>
    <row r="872">
      <c r="A872" s="9"/>
      <c r="B872" s="42"/>
      <c r="C872" s="42"/>
      <c r="D872" s="42"/>
      <c r="E872" s="42"/>
      <c r="F872" s="42"/>
    </row>
    <row r="873">
      <c r="A873" s="9"/>
      <c r="B873" s="42"/>
      <c r="C873" s="42"/>
      <c r="D873" s="42"/>
      <c r="E873" s="42"/>
      <c r="F873" s="42"/>
    </row>
    <row r="874">
      <c r="A874" s="9"/>
      <c r="B874" s="42"/>
      <c r="C874" s="42"/>
      <c r="D874" s="42"/>
      <c r="E874" s="42"/>
      <c r="F874" s="42"/>
    </row>
    <row r="875">
      <c r="A875" s="9"/>
      <c r="B875" s="42"/>
      <c r="C875" s="42"/>
      <c r="D875" s="42"/>
      <c r="E875" s="42"/>
      <c r="F875" s="42"/>
    </row>
    <row r="876">
      <c r="A876" s="9"/>
      <c r="B876" s="42"/>
      <c r="C876" s="42"/>
      <c r="D876" s="42"/>
      <c r="E876" s="42"/>
      <c r="F876" s="42"/>
    </row>
    <row r="877">
      <c r="A877" s="9"/>
      <c r="B877" s="42"/>
      <c r="C877" s="42"/>
      <c r="D877" s="42"/>
      <c r="E877" s="42"/>
      <c r="F877" s="42"/>
    </row>
    <row r="878">
      <c r="A878" s="9"/>
      <c r="B878" s="42"/>
      <c r="C878" s="42"/>
      <c r="D878" s="42"/>
      <c r="E878" s="42"/>
      <c r="F878" s="42"/>
    </row>
    <row r="879">
      <c r="A879" s="9"/>
      <c r="B879" s="42"/>
      <c r="C879" s="42"/>
      <c r="D879" s="42"/>
      <c r="E879" s="42"/>
      <c r="F879" s="42"/>
    </row>
    <row r="880">
      <c r="A880" s="9"/>
      <c r="B880" s="42"/>
      <c r="C880" s="42"/>
      <c r="D880" s="42"/>
      <c r="E880" s="42"/>
      <c r="F880" s="42"/>
    </row>
    <row r="881">
      <c r="A881" s="9"/>
      <c r="B881" s="42"/>
      <c r="C881" s="42"/>
      <c r="D881" s="42"/>
      <c r="E881" s="42"/>
      <c r="F881" s="42"/>
    </row>
    <row r="882">
      <c r="A882" s="9"/>
      <c r="B882" s="42"/>
      <c r="C882" s="42"/>
      <c r="D882" s="42"/>
      <c r="E882" s="42"/>
      <c r="F882" s="42"/>
    </row>
    <row r="883">
      <c r="A883" s="9"/>
      <c r="B883" s="42"/>
      <c r="C883" s="42"/>
      <c r="D883" s="42"/>
      <c r="E883" s="42"/>
      <c r="F883" s="42"/>
    </row>
    <row r="884">
      <c r="A884" s="9"/>
      <c r="B884" s="42"/>
      <c r="C884" s="42"/>
      <c r="D884" s="42"/>
      <c r="E884" s="42"/>
      <c r="F884" s="42"/>
    </row>
    <row r="885">
      <c r="A885" s="9"/>
      <c r="B885" s="42"/>
      <c r="C885" s="42"/>
      <c r="D885" s="42"/>
      <c r="E885" s="42"/>
      <c r="F885" s="42"/>
    </row>
    <row r="886">
      <c r="A886" s="9"/>
      <c r="B886" s="42"/>
      <c r="C886" s="42"/>
      <c r="D886" s="42"/>
      <c r="E886" s="42"/>
      <c r="F886" s="42"/>
    </row>
    <row r="887">
      <c r="A887" s="9"/>
      <c r="B887" s="42"/>
      <c r="C887" s="42"/>
      <c r="D887" s="42"/>
      <c r="E887" s="42"/>
      <c r="F887" s="42"/>
    </row>
    <row r="888">
      <c r="A888" s="9"/>
      <c r="B888" s="42"/>
      <c r="C888" s="42"/>
      <c r="D888" s="42"/>
      <c r="E888" s="42"/>
      <c r="F888" s="42"/>
    </row>
    <row r="889">
      <c r="A889" s="9"/>
      <c r="B889" s="42"/>
      <c r="C889" s="42"/>
      <c r="D889" s="42"/>
      <c r="E889" s="42"/>
      <c r="F889" s="42"/>
    </row>
    <row r="890">
      <c r="A890" s="9"/>
      <c r="B890" s="42"/>
      <c r="C890" s="42"/>
      <c r="D890" s="42"/>
      <c r="E890" s="42"/>
      <c r="F890" s="42"/>
    </row>
    <row r="891">
      <c r="A891" s="9"/>
      <c r="B891" s="42"/>
      <c r="C891" s="42"/>
      <c r="D891" s="42"/>
      <c r="E891" s="42"/>
      <c r="F891" s="42"/>
    </row>
    <row r="892">
      <c r="A892" s="9"/>
      <c r="B892" s="42"/>
      <c r="C892" s="42"/>
      <c r="D892" s="42"/>
      <c r="E892" s="42"/>
      <c r="F892" s="42"/>
    </row>
    <row r="893">
      <c r="A893" s="9"/>
      <c r="B893" s="42"/>
      <c r="C893" s="42"/>
      <c r="D893" s="42"/>
      <c r="E893" s="42"/>
      <c r="F893" s="42"/>
    </row>
    <row r="894">
      <c r="A894" s="9"/>
      <c r="B894" s="42"/>
      <c r="C894" s="42"/>
      <c r="D894" s="42"/>
      <c r="E894" s="42"/>
      <c r="F894" s="42"/>
    </row>
    <row r="895">
      <c r="A895" s="9"/>
      <c r="B895" s="42"/>
      <c r="C895" s="42"/>
      <c r="D895" s="42"/>
      <c r="E895" s="42"/>
      <c r="F895" s="42"/>
    </row>
    <row r="896">
      <c r="A896" s="9"/>
      <c r="B896" s="42"/>
      <c r="C896" s="42"/>
      <c r="D896" s="42"/>
      <c r="E896" s="42"/>
      <c r="F896" s="42"/>
    </row>
    <row r="897">
      <c r="A897" s="9"/>
      <c r="B897" s="42"/>
      <c r="C897" s="42"/>
      <c r="D897" s="42"/>
      <c r="E897" s="42"/>
      <c r="F897" s="42"/>
    </row>
    <row r="898">
      <c r="A898" s="9"/>
      <c r="B898" s="42"/>
      <c r="C898" s="42"/>
      <c r="D898" s="42"/>
      <c r="E898" s="42"/>
      <c r="F898" s="42"/>
    </row>
    <row r="899">
      <c r="A899" s="9"/>
      <c r="B899" s="42"/>
      <c r="C899" s="42"/>
      <c r="D899" s="42"/>
      <c r="E899" s="42"/>
      <c r="F899" s="42"/>
    </row>
    <row r="900">
      <c r="A900" s="9"/>
      <c r="B900" s="42"/>
      <c r="C900" s="42"/>
      <c r="D900" s="42"/>
      <c r="E900" s="42"/>
      <c r="F900" s="42"/>
    </row>
    <row r="901">
      <c r="A901" s="9"/>
      <c r="B901" s="42"/>
      <c r="C901" s="42"/>
      <c r="D901" s="42"/>
      <c r="E901" s="42"/>
      <c r="F901" s="42"/>
    </row>
    <row r="902">
      <c r="A902" s="9"/>
      <c r="B902" s="42"/>
      <c r="C902" s="42"/>
      <c r="D902" s="42"/>
      <c r="E902" s="42"/>
      <c r="F902" s="42"/>
    </row>
    <row r="903">
      <c r="A903" s="9"/>
      <c r="B903" s="42"/>
      <c r="C903" s="42"/>
      <c r="D903" s="42"/>
      <c r="E903" s="42"/>
      <c r="F903" s="42"/>
    </row>
    <row r="904">
      <c r="A904" s="9"/>
      <c r="B904" s="42"/>
      <c r="C904" s="42"/>
      <c r="D904" s="42"/>
      <c r="E904" s="42"/>
      <c r="F904" s="42"/>
    </row>
    <row r="905">
      <c r="A905" s="9"/>
      <c r="B905" s="42"/>
      <c r="C905" s="42"/>
      <c r="D905" s="42"/>
      <c r="E905" s="42"/>
      <c r="F905" s="42"/>
    </row>
    <row r="906">
      <c r="A906" s="9"/>
      <c r="B906" s="42"/>
      <c r="C906" s="42"/>
      <c r="D906" s="42"/>
      <c r="E906" s="42"/>
      <c r="F906" s="42"/>
    </row>
    <row r="907">
      <c r="A907" s="9"/>
      <c r="B907" s="42"/>
      <c r="C907" s="42"/>
      <c r="D907" s="42"/>
      <c r="E907" s="42"/>
      <c r="F907" s="42"/>
    </row>
    <row r="908">
      <c r="A908" s="9"/>
      <c r="B908" s="42"/>
      <c r="C908" s="42"/>
      <c r="D908" s="42"/>
      <c r="E908" s="42"/>
      <c r="F908" s="42"/>
    </row>
    <row r="909">
      <c r="A909" s="9"/>
      <c r="B909" s="42"/>
      <c r="C909" s="42"/>
      <c r="D909" s="42"/>
      <c r="E909" s="42"/>
      <c r="F909" s="42"/>
    </row>
    <row r="910">
      <c r="A910" s="9"/>
      <c r="B910" s="42"/>
      <c r="C910" s="42"/>
      <c r="D910" s="42"/>
      <c r="E910" s="42"/>
      <c r="F910" s="42"/>
    </row>
    <row r="911">
      <c r="A911" s="9"/>
      <c r="B911" s="42"/>
      <c r="C911" s="42"/>
      <c r="D911" s="42"/>
      <c r="E911" s="42"/>
      <c r="F911" s="42"/>
    </row>
    <row r="912">
      <c r="A912" s="9"/>
      <c r="B912" s="42"/>
      <c r="C912" s="42"/>
      <c r="D912" s="42"/>
      <c r="E912" s="42"/>
      <c r="F912" s="42"/>
    </row>
    <row r="913">
      <c r="A913" s="9"/>
      <c r="B913" s="42"/>
      <c r="C913" s="42"/>
      <c r="D913" s="42"/>
      <c r="E913" s="42"/>
      <c r="F913" s="42"/>
    </row>
    <row r="914">
      <c r="A914" s="9"/>
      <c r="B914" s="42"/>
      <c r="C914" s="42"/>
      <c r="D914" s="42"/>
      <c r="E914" s="42"/>
      <c r="F914" s="42"/>
    </row>
    <row r="915">
      <c r="A915" s="9"/>
      <c r="B915" s="42"/>
      <c r="C915" s="42"/>
      <c r="D915" s="42"/>
      <c r="E915" s="42"/>
      <c r="F915" s="42"/>
    </row>
    <row r="916">
      <c r="A916" s="9"/>
      <c r="B916" s="42"/>
      <c r="C916" s="42"/>
      <c r="D916" s="42"/>
      <c r="E916" s="42"/>
      <c r="F916" s="42"/>
    </row>
    <row r="917">
      <c r="A917" s="9"/>
      <c r="B917" s="42"/>
      <c r="C917" s="42"/>
      <c r="D917" s="42"/>
      <c r="E917" s="42"/>
      <c r="F917" s="42"/>
    </row>
    <row r="918">
      <c r="A918" s="9"/>
      <c r="B918" s="42"/>
      <c r="C918" s="42"/>
      <c r="D918" s="42"/>
      <c r="E918" s="42"/>
      <c r="F918" s="42"/>
    </row>
    <row r="919">
      <c r="A919" s="9"/>
      <c r="B919" s="42"/>
      <c r="C919" s="42"/>
      <c r="D919" s="42"/>
      <c r="E919" s="42"/>
      <c r="F919" s="42"/>
    </row>
    <row r="920">
      <c r="A920" s="9"/>
      <c r="B920" s="42"/>
      <c r="C920" s="42"/>
      <c r="D920" s="42"/>
      <c r="E920" s="42"/>
      <c r="F920" s="42"/>
    </row>
    <row r="921">
      <c r="A921" s="9"/>
      <c r="B921" s="42"/>
      <c r="C921" s="42"/>
      <c r="D921" s="42"/>
      <c r="E921" s="42"/>
      <c r="F921" s="42"/>
    </row>
    <row r="922">
      <c r="A922" s="9"/>
      <c r="B922" s="42"/>
      <c r="C922" s="42"/>
      <c r="D922" s="42"/>
      <c r="E922" s="42"/>
      <c r="F922" s="42"/>
    </row>
    <row r="923">
      <c r="A923" s="9"/>
      <c r="B923" s="42"/>
      <c r="C923" s="42"/>
      <c r="D923" s="42"/>
      <c r="E923" s="42"/>
      <c r="F923" s="42"/>
    </row>
    <row r="924">
      <c r="A924" s="9"/>
      <c r="B924" s="42"/>
      <c r="C924" s="42"/>
      <c r="D924" s="42"/>
      <c r="E924" s="42"/>
      <c r="F924" s="42"/>
    </row>
    <row r="925">
      <c r="A925" s="9"/>
      <c r="B925" s="42"/>
      <c r="C925" s="42"/>
      <c r="D925" s="42"/>
      <c r="E925" s="42"/>
      <c r="F925" s="42"/>
    </row>
    <row r="926">
      <c r="A926" s="9"/>
      <c r="B926" s="42"/>
      <c r="C926" s="42"/>
      <c r="D926" s="42"/>
      <c r="E926" s="42"/>
      <c r="F926" s="42"/>
    </row>
    <row r="927">
      <c r="A927" s="9"/>
      <c r="B927" s="42"/>
      <c r="C927" s="42"/>
      <c r="D927" s="42"/>
      <c r="E927" s="42"/>
      <c r="F927" s="42"/>
    </row>
    <row r="928">
      <c r="A928" s="9"/>
      <c r="B928" s="42"/>
      <c r="C928" s="42"/>
      <c r="D928" s="42"/>
      <c r="E928" s="42"/>
      <c r="F928" s="42"/>
    </row>
    <row r="929">
      <c r="A929" s="9"/>
      <c r="B929" s="42"/>
      <c r="C929" s="42"/>
      <c r="D929" s="42"/>
      <c r="E929" s="42"/>
      <c r="F929" s="42"/>
    </row>
    <row r="930">
      <c r="A930" s="9"/>
      <c r="B930" s="42"/>
      <c r="C930" s="42"/>
      <c r="D930" s="42"/>
      <c r="E930" s="42"/>
      <c r="F930" s="42"/>
    </row>
    <row r="931">
      <c r="A931" s="9"/>
      <c r="B931" s="42"/>
      <c r="C931" s="42"/>
      <c r="D931" s="42"/>
      <c r="E931" s="42"/>
      <c r="F931" s="42"/>
    </row>
    <row r="932">
      <c r="A932" s="9"/>
      <c r="B932" s="42"/>
      <c r="C932" s="42"/>
      <c r="D932" s="42"/>
      <c r="E932" s="42"/>
      <c r="F932" s="42"/>
    </row>
    <row r="933">
      <c r="A933" s="9"/>
      <c r="B933" s="42"/>
      <c r="C933" s="42"/>
      <c r="D933" s="42"/>
      <c r="E933" s="42"/>
      <c r="F933" s="42"/>
    </row>
    <row r="934">
      <c r="A934" s="9"/>
      <c r="B934" s="42"/>
      <c r="C934" s="42"/>
      <c r="D934" s="42"/>
      <c r="E934" s="42"/>
      <c r="F934" s="42"/>
    </row>
    <row r="935">
      <c r="A935" s="9"/>
      <c r="B935" s="42"/>
      <c r="C935" s="42"/>
      <c r="D935" s="42"/>
      <c r="E935" s="42"/>
      <c r="F935" s="42"/>
    </row>
    <row r="936">
      <c r="A936" s="9"/>
      <c r="B936" s="42"/>
      <c r="C936" s="42"/>
      <c r="D936" s="42"/>
      <c r="E936" s="42"/>
      <c r="F936" s="42"/>
    </row>
    <row r="937">
      <c r="A937" s="9"/>
      <c r="B937" s="42"/>
      <c r="C937" s="42"/>
      <c r="D937" s="42"/>
      <c r="E937" s="42"/>
      <c r="F937" s="42"/>
    </row>
    <row r="938">
      <c r="A938" s="9"/>
      <c r="B938" s="42"/>
      <c r="C938" s="42"/>
      <c r="D938" s="42"/>
      <c r="E938" s="42"/>
      <c r="F938" s="42"/>
    </row>
    <row r="939">
      <c r="A939" s="9"/>
      <c r="B939" s="42"/>
      <c r="C939" s="42"/>
      <c r="D939" s="42"/>
      <c r="E939" s="42"/>
      <c r="F939" s="42"/>
    </row>
    <row r="940">
      <c r="A940" s="9"/>
      <c r="B940" s="42"/>
      <c r="C940" s="42"/>
      <c r="D940" s="42"/>
      <c r="E940" s="42"/>
      <c r="F940" s="42"/>
    </row>
    <row r="941">
      <c r="A941" s="9"/>
      <c r="B941" s="42"/>
      <c r="C941" s="42"/>
      <c r="D941" s="42"/>
      <c r="E941" s="42"/>
      <c r="F941" s="42"/>
    </row>
    <row r="942">
      <c r="A942" s="9"/>
      <c r="B942" s="42"/>
      <c r="C942" s="42"/>
      <c r="D942" s="42"/>
      <c r="E942" s="42"/>
      <c r="F942" s="42"/>
    </row>
    <row r="943">
      <c r="A943" s="9"/>
      <c r="B943" s="42"/>
      <c r="C943" s="42"/>
      <c r="D943" s="42"/>
      <c r="E943" s="42"/>
      <c r="F943" s="42"/>
    </row>
    <row r="944">
      <c r="A944" s="9"/>
      <c r="B944" s="42"/>
      <c r="C944" s="42"/>
      <c r="D944" s="42"/>
      <c r="E944" s="42"/>
      <c r="F944" s="42"/>
    </row>
    <row r="945">
      <c r="A945" s="9"/>
      <c r="B945" s="42"/>
      <c r="C945" s="42"/>
      <c r="D945" s="42"/>
      <c r="E945" s="42"/>
      <c r="F945" s="42"/>
    </row>
    <row r="946">
      <c r="A946" s="9"/>
      <c r="B946" s="42"/>
      <c r="C946" s="42"/>
      <c r="D946" s="42"/>
      <c r="E946" s="42"/>
      <c r="F946" s="42"/>
    </row>
    <row r="947">
      <c r="A947" s="9"/>
      <c r="B947" s="42"/>
      <c r="C947" s="42"/>
      <c r="D947" s="42"/>
      <c r="E947" s="42"/>
      <c r="F947" s="42"/>
    </row>
    <row r="948">
      <c r="A948" s="9"/>
      <c r="B948" s="42"/>
      <c r="C948" s="42"/>
      <c r="D948" s="42"/>
      <c r="E948" s="42"/>
      <c r="F948" s="42"/>
    </row>
    <row r="949">
      <c r="A949" s="9"/>
      <c r="B949" s="42"/>
      <c r="C949" s="42"/>
      <c r="D949" s="42"/>
      <c r="E949" s="42"/>
      <c r="F949" s="42"/>
    </row>
    <row r="950">
      <c r="A950" s="9"/>
      <c r="B950" s="42"/>
      <c r="C950" s="42"/>
      <c r="D950" s="42"/>
      <c r="E950" s="42"/>
      <c r="F950" s="42"/>
    </row>
    <row r="951">
      <c r="A951" s="9"/>
      <c r="B951" s="42"/>
      <c r="C951" s="42"/>
      <c r="D951" s="42"/>
      <c r="E951" s="42"/>
      <c r="F951" s="42"/>
    </row>
    <row r="952">
      <c r="A952" s="9"/>
      <c r="B952" s="42"/>
      <c r="C952" s="42"/>
      <c r="D952" s="42"/>
      <c r="E952" s="42"/>
      <c r="F952" s="42"/>
    </row>
    <row r="953">
      <c r="A953" s="9"/>
      <c r="B953" s="42"/>
      <c r="C953" s="42"/>
      <c r="D953" s="42"/>
      <c r="E953" s="42"/>
      <c r="F953" s="42"/>
    </row>
    <row r="954">
      <c r="A954" s="9"/>
      <c r="B954" s="42"/>
      <c r="C954" s="42"/>
      <c r="D954" s="42"/>
      <c r="E954" s="42"/>
      <c r="F954" s="42"/>
    </row>
    <row r="955">
      <c r="A955" s="9"/>
      <c r="B955" s="42"/>
      <c r="C955" s="42"/>
      <c r="D955" s="42"/>
      <c r="E955" s="42"/>
      <c r="F955" s="42"/>
    </row>
    <row r="956">
      <c r="A956" s="9"/>
      <c r="B956" s="42"/>
      <c r="C956" s="42"/>
      <c r="D956" s="42"/>
      <c r="E956" s="42"/>
      <c r="F956" s="42"/>
    </row>
    <row r="957">
      <c r="A957" s="9"/>
      <c r="B957" s="42"/>
      <c r="C957" s="42"/>
      <c r="D957" s="42"/>
      <c r="E957" s="42"/>
      <c r="F957" s="42"/>
    </row>
    <row r="958">
      <c r="A958" s="9"/>
      <c r="B958" s="42"/>
      <c r="C958" s="42"/>
      <c r="D958" s="42"/>
      <c r="E958" s="42"/>
      <c r="F958" s="42"/>
    </row>
    <row r="959">
      <c r="A959" s="9"/>
      <c r="B959" s="42"/>
      <c r="C959" s="42"/>
      <c r="D959" s="42"/>
      <c r="E959" s="42"/>
      <c r="F959" s="42"/>
    </row>
    <row r="960">
      <c r="A960" s="9"/>
      <c r="B960" s="42"/>
      <c r="C960" s="42"/>
      <c r="D960" s="42"/>
      <c r="E960" s="42"/>
      <c r="F960" s="42"/>
    </row>
    <row r="961">
      <c r="A961" s="9"/>
      <c r="B961" s="42"/>
      <c r="C961" s="42"/>
      <c r="D961" s="42"/>
      <c r="E961" s="42"/>
      <c r="F961" s="42"/>
    </row>
    <row r="962">
      <c r="A962" s="9"/>
      <c r="B962" s="42"/>
      <c r="C962" s="42"/>
      <c r="D962" s="42"/>
      <c r="E962" s="42"/>
      <c r="F962" s="42"/>
    </row>
    <row r="963">
      <c r="A963" s="9"/>
      <c r="B963" s="42"/>
      <c r="C963" s="42"/>
      <c r="D963" s="42"/>
      <c r="E963" s="42"/>
      <c r="F963" s="42"/>
    </row>
    <row r="964">
      <c r="A964" s="9"/>
      <c r="B964" s="42"/>
      <c r="C964" s="42"/>
      <c r="D964" s="42"/>
      <c r="E964" s="42"/>
      <c r="F964" s="42"/>
    </row>
    <row r="965">
      <c r="A965" s="9"/>
      <c r="B965" s="42"/>
      <c r="C965" s="42"/>
      <c r="D965" s="42"/>
      <c r="E965" s="42"/>
      <c r="F965" s="42"/>
    </row>
    <row r="966">
      <c r="A966" s="9"/>
      <c r="B966" s="42"/>
      <c r="C966" s="42"/>
      <c r="D966" s="42"/>
      <c r="E966" s="42"/>
      <c r="F966" s="42"/>
    </row>
    <row r="967">
      <c r="A967" s="9"/>
      <c r="B967" s="42"/>
      <c r="C967" s="42"/>
      <c r="D967" s="42"/>
      <c r="E967" s="42"/>
      <c r="F967" s="42"/>
    </row>
    <row r="968">
      <c r="A968" s="9"/>
      <c r="B968" s="42"/>
      <c r="C968" s="42"/>
      <c r="D968" s="42"/>
      <c r="E968" s="42"/>
      <c r="F968" s="42"/>
    </row>
    <row r="969">
      <c r="A969" s="9"/>
      <c r="B969" s="42"/>
      <c r="C969" s="42"/>
      <c r="D969" s="42"/>
      <c r="E969" s="42"/>
      <c r="F969" s="42"/>
    </row>
    <row r="970">
      <c r="A970" s="9"/>
      <c r="B970" s="42"/>
      <c r="C970" s="42"/>
      <c r="D970" s="42"/>
      <c r="E970" s="42"/>
      <c r="F970" s="42"/>
    </row>
    <row r="971">
      <c r="A971" s="9"/>
      <c r="B971" s="42"/>
      <c r="C971" s="42"/>
      <c r="D971" s="42"/>
      <c r="E971" s="42"/>
      <c r="F971" s="42"/>
    </row>
    <row r="972">
      <c r="A972" s="9"/>
      <c r="B972" s="42"/>
      <c r="C972" s="42"/>
      <c r="D972" s="42"/>
      <c r="E972" s="42"/>
      <c r="F972" s="42"/>
    </row>
    <row r="973">
      <c r="A973" s="9"/>
      <c r="B973" s="42"/>
      <c r="C973" s="42"/>
      <c r="D973" s="42"/>
      <c r="E973" s="42"/>
      <c r="F973" s="42"/>
    </row>
    <row r="974">
      <c r="A974" s="9"/>
      <c r="B974" s="42"/>
      <c r="C974" s="42"/>
      <c r="D974" s="42"/>
      <c r="E974" s="42"/>
      <c r="F974" s="42"/>
    </row>
    <row r="975">
      <c r="A975" s="9"/>
      <c r="B975" s="42"/>
      <c r="C975" s="42"/>
      <c r="D975" s="42"/>
      <c r="E975" s="42"/>
      <c r="F975" s="42"/>
    </row>
    <row r="976">
      <c r="A976" s="9"/>
      <c r="B976" s="42"/>
      <c r="C976" s="42"/>
      <c r="D976" s="42"/>
      <c r="E976" s="42"/>
      <c r="F976" s="42"/>
    </row>
    <row r="977">
      <c r="A977" s="9"/>
      <c r="B977" s="42"/>
      <c r="C977" s="42"/>
      <c r="D977" s="42"/>
      <c r="E977" s="42"/>
      <c r="F977" s="42"/>
    </row>
    <row r="978">
      <c r="A978" s="9"/>
      <c r="B978" s="42"/>
      <c r="C978" s="42"/>
      <c r="D978" s="42"/>
      <c r="E978" s="42"/>
      <c r="F978" s="42"/>
    </row>
    <row r="979">
      <c r="A979" s="9"/>
      <c r="B979" s="42"/>
      <c r="C979" s="42"/>
      <c r="D979" s="42"/>
      <c r="E979" s="42"/>
      <c r="F979" s="42"/>
    </row>
    <row r="980">
      <c r="A980" s="9"/>
      <c r="B980" s="42"/>
      <c r="C980" s="42"/>
      <c r="D980" s="42"/>
      <c r="E980" s="42"/>
      <c r="F980" s="42"/>
    </row>
    <row r="981">
      <c r="A981" s="9"/>
      <c r="B981" s="42"/>
      <c r="C981" s="42"/>
      <c r="D981" s="42"/>
      <c r="E981" s="42"/>
      <c r="F981" s="42"/>
    </row>
    <row r="982">
      <c r="A982" s="9"/>
      <c r="B982" s="42"/>
      <c r="C982" s="42"/>
      <c r="D982" s="42"/>
      <c r="E982" s="42"/>
      <c r="F982" s="42"/>
    </row>
    <row r="983">
      <c r="A983" s="9"/>
      <c r="B983" s="42"/>
      <c r="C983" s="42"/>
      <c r="D983" s="42"/>
      <c r="E983" s="42"/>
      <c r="F983" s="42"/>
    </row>
    <row r="984">
      <c r="A984" s="9"/>
      <c r="B984" s="42"/>
      <c r="C984" s="42"/>
      <c r="D984" s="42"/>
      <c r="E984" s="42"/>
      <c r="F984" s="42"/>
    </row>
    <row r="985">
      <c r="A985" s="9"/>
      <c r="B985" s="42"/>
      <c r="C985" s="42"/>
      <c r="D985" s="42"/>
      <c r="E985" s="42"/>
      <c r="F985" s="42"/>
    </row>
    <row r="986">
      <c r="A986" s="9"/>
      <c r="B986" s="42"/>
      <c r="C986" s="42"/>
      <c r="D986" s="42"/>
      <c r="E986" s="42"/>
      <c r="F986" s="42"/>
    </row>
    <row r="987">
      <c r="A987" s="9"/>
      <c r="B987" s="42"/>
      <c r="C987" s="42"/>
      <c r="D987" s="42"/>
      <c r="E987" s="42"/>
      <c r="F987" s="42"/>
    </row>
    <row r="988">
      <c r="A988" s="9"/>
      <c r="B988" s="42"/>
      <c r="C988" s="42"/>
      <c r="D988" s="42"/>
      <c r="E988" s="42"/>
      <c r="F988" s="42"/>
    </row>
    <row r="989">
      <c r="A989" s="9"/>
      <c r="B989" s="42"/>
      <c r="C989" s="42"/>
      <c r="D989" s="42"/>
      <c r="E989" s="42"/>
      <c r="F989" s="42"/>
    </row>
    <row r="990">
      <c r="A990" s="9"/>
      <c r="B990" s="42"/>
      <c r="C990" s="42"/>
      <c r="D990" s="42"/>
      <c r="E990" s="42"/>
      <c r="F990" s="42"/>
    </row>
    <row r="991">
      <c r="A991" s="9"/>
      <c r="B991" s="42"/>
      <c r="C991" s="42"/>
      <c r="D991" s="42"/>
      <c r="E991" s="42"/>
      <c r="F991" s="42"/>
    </row>
    <row r="992">
      <c r="A992" s="9"/>
      <c r="B992" s="42"/>
      <c r="C992" s="42"/>
      <c r="D992" s="42"/>
      <c r="E992" s="42"/>
      <c r="F992" s="42"/>
    </row>
    <row r="993">
      <c r="A993" s="9"/>
      <c r="B993" s="42"/>
      <c r="C993" s="42"/>
      <c r="D993" s="42"/>
      <c r="E993" s="42"/>
      <c r="F993" s="42"/>
    </row>
    <row r="994">
      <c r="A994" s="9"/>
      <c r="B994" s="42"/>
      <c r="C994" s="42"/>
      <c r="D994" s="42"/>
      <c r="E994" s="42"/>
      <c r="F994" s="42"/>
    </row>
    <row r="995">
      <c r="A995" s="9"/>
      <c r="B995" s="42"/>
      <c r="C995" s="42"/>
      <c r="D995" s="42"/>
      <c r="E995" s="42"/>
      <c r="F995" s="42"/>
    </row>
    <row r="996">
      <c r="A996" s="9"/>
      <c r="B996" s="42"/>
      <c r="C996" s="42"/>
      <c r="D996" s="42"/>
      <c r="E996" s="42"/>
      <c r="F996" s="42"/>
    </row>
    <row r="997">
      <c r="A997" s="9"/>
      <c r="B997" s="42"/>
      <c r="C997" s="42"/>
      <c r="D997" s="42"/>
      <c r="E997" s="42"/>
      <c r="F997" s="42"/>
    </row>
    <row r="998">
      <c r="A998" s="9"/>
      <c r="B998" s="42"/>
      <c r="C998" s="42"/>
      <c r="D998" s="42"/>
      <c r="E998" s="42"/>
      <c r="F998" s="42"/>
    </row>
    <row r="999">
      <c r="A999" s="9"/>
      <c r="B999" s="42"/>
      <c r="C999" s="42"/>
      <c r="D999" s="42"/>
      <c r="E999" s="42"/>
      <c r="F999" s="4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29</v>
      </c>
      <c r="B1" s="7" t="s">
        <v>3</v>
      </c>
      <c r="C1" s="7" t="s">
        <v>34</v>
      </c>
    </row>
    <row r="2">
      <c r="A2" s="36">
        <v>45975.0</v>
      </c>
      <c r="B2" s="41">
        <v>99697.0</v>
      </c>
      <c r="C2" s="9">
        <f t="shared" ref="C2:C15" si="1">AVERAGE(B2:B9)</f>
        <v>102798.875</v>
      </c>
    </row>
    <row r="3">
      <c r="A3" s="36">
        <v>45974.0</v>
      </c>
      <c r="B3" s="40">
        <v>101663.0</v>
      </c>
      <c r="C3" s="9">
        <f t="shared" si="1"/>
        <v>102999.375</v>
      </c>
    </row>
    <row r="4">
      <c r="A4" s="39">
        <v>45973.0</v>
      </c>
      <c r="B4" s="40">
        <v>101663.0</v>
      </c>
      <c r="C4" s="9">
        <f t="shared" si="1"/>
        <v>103278</v>
      </c>
    </row>
    <row r="5">
      <c r="A5" s="39">
        <v>45972.0</v>
      </c>
      <c r="B5" s="40">
        <v>102997.0</v>
      </c>
      <c r="C5" s="9">
        <f t="shared" si="1"/>
        <v>103269</v>
      </c>
    </row>
    <row r="6">
      <c r="A6" s="39">
        <v>45971.0</v>
      </c>
      <c r="B6" s="40">
        <v>105997.0</v>
      </c>
      <c r="C6" s="9">
        <f t="shared" si="1"/>
        <v>103712.875</v>
      </c>
    </row>
    <row r="7">
      <c r="A7" s="39">
        <v>45970.0</v>
      </c>
      <c r="B7" s="40">
        <v>104720.0</v>
      </c>
      <c r="C7" s="9">
        <f t="shared" si="1"/>
        <v>104293.25</v>
      </c>
    </row>
    <row r="8">
      <c r="A8" s="39">
        <v>45969.0</v>
      </c>
      <c r="B8" s="40">
        <v>102282.0</v>
      </c>
      <c r="C8" s="9">
        <f t="shared" si="1"/>
        <v>104961.25</v>
      </c>
    </row>
    <row r="9">
      <c r="A9" s="39">
        <v>45968.0</v>
      </c>
      <c r="B9" s="40">
        <v>103372.0</v>
      </c>
      <c r="C9" s="9">
        <f t="shared" si="1"/>
        <v>105344</v>
      </c>
    </row>
    <row r="10">
      <c r="A10" s="39">
        <v>45967.0</v>
      </c>
      <c r="B10" s="40">
        <v>101301.0</v>
      </c>
      <c r="C10" s="9">
        <f t="shared" si="1"/>
        <v>105672.6667</v>
      </c>
    </row>
    <row r="11">
      <c r="A11" s="39">
        <v>45966.0</v>
      </c>
      <c r="B11" s="40">
        <v>103892.0</v>
      </c>
      <c r="C11" s="9">
        <f t="shared" si="1"/>
        <v>106547</v>
      </c>
    </row>
    <row r="12">
      <c r="A12" s="39">
        <v>45965.0</v>
      </c>
      <c r="B12" s="40">
        <v>101591.0</v>
      </c>
      <c r="C12" s="9">
        <f t="shared" si="1"/>
        <v>107210.75</v>
      </c>
    </row>
    <row r="13">
      <c r="A13" s="39">
        <v>45964.0</v>
      </c>
      <c r="B13" s="40">
        <v>106548.0</v>
      </c>
      <c r="C13" s="9">
        <f t="shared" si="1"/>
        <v>109084</v>
      </c>
    </row>
    <row r="14">
      <c r="A14" s="39">
        <v>45963.0</v>
      </c>
      <c r="B14" s="40">
        <v>110640.0</v>
      </c>
      <c r="C14" s="9">
        <f t="shared" si="1"/>
        <v>110352</v>
      </c>
    </row>
    <row r="15">
      <c r="A15" s="39">
        <v>45962.0</v>
      </c>
      <c r="B15" s="40">
        <v>110064.0</v>
      </c>
      <c r="C15" s="9">
        <f t="shared" si="1"/>
        <v>110064</v>
      </c>
    </row>
    <row r="16">
      <c r="B16" s="9"/>
      <c r="C16" s="9"/>
    </row>
    <row r="17">
      <c r="B17" s="9"/>
      <c r="C17" s="9"/>
    </row>
    <row r="18">
      <c r="B18" s="9"/>
      <c r="C18" s="9"/>
    </row>
    <row r="19">
      <c r="B19" s="9"/>
      <c r="C19" s="9"/>
    </row>
    <row r="20">
      <c r="B20" s="9"/>
      <c r="C20" s="9"/>
    </row>
    <row r="21">
      <c r="B21" s="9"/>
      <c r="C21" s="9"/>
    </row>
    <row r="22">
      <c r="B22" s="9"/>
      <c r="C22" s="9"/>
    </row>
    <row r="23">
      <c r="B23" s="9"/>
      <c r="C23" s="9"/>
    </row>
    <row r="24">
      <c r="B24" s="9"/>
      <c r="C24" s="9"/>
    </row>
    <row r="25">
      <c r="B25" s="9"/>
      <c r="C25" s="9"/>
    </row>
    <row r="26">
      <c r="B26" s="9"/>
      <c r="C26" s="9"/>
    </row>
    <row r="27">
      <c r="B27" s="9"/>
      <c r="C27" s="9"/>
    </row>
    <row r="28">
      <c r="B28" s="9"/>
      <c r="C28" s="9"/>
    </row>
    <row r="29">
      <c r="A29" s="15" t="s">
        <v>35</v>
      </c>
      <c r="B29" s="9"/>
      <c r="C29" s="9"/>
    </row>
    <row r="30">
      <c r="B30" s="9"/>
      <c r="C30" s="9"/>
    </row>
    <row r="31">
      <c r="B31" s="9"/>
      <c r="C31" s="9"/>
    </row>
    <row r="32">
      <c r="B32" s="9"/>
      <c r="C32" s="9"/>
    </row>
    <row r="33">
      <c r="B33" s="9"/>
      <c r="C33" s="9"/>
    </row>
    <row r="34">
      <c r="B34" s="9"/>
      <c r="C34" s="9"/>
    </row>
    <row r="35">
      <c r="B35" s="9"/>
      <c r="C35" s="9"/>
    </row>
    <row r="36">
      <c r="B36" s="9"/>
      <c r="C36" s="9"/>
    </row>
    <row r="37">
      <c r="B37" s="9"/>
      <c r="C37" s="9"/>
    </row>
    <row r="38">
      <c r="B38" s="9"/>
      <c r="C38" s="9"/>
    </row>
    <row r="39">
      <c r="B39" s="9"/>
      <c r="C39" s="9"/>
    </row>
    <row r="40">
      <c r="B40" s="9"/>
      <c r="C40" s="9"/>
    </row>
    <row r="41">
      <c r="B41" s="9"/>
      <c r="C41" s="9"/>
    </row>
    <row r="42">
      <c r="B42" s="9"/>
      <c r="C42" s="9"/>
    </row>
    <row r="43">
      <c r="B43" s="9"/>
      <c r="C43" s="9"/>
    </row>
    <row r="44">
      <c r="B44" s="9"/>
      <c r="C44" s="9"/>
    </row>
    <row r="45">
      <c r="B45" s="9"/>
      <c r="C45" s="9"/>
    </row>
    <row r="46">
      <c r="B46" s="9"/>
      <c r="C46" s="9"/>
    </row>
    <row r="47">
      <c r="B47" s="9"/>
      <c r="C47" s="9"/>
    </row>
    <row r="48">
      <c r="B48" s="9"/>
      <c r="C48" s="9"/>
    </row>
    <row r="49">
      <c r="B49" s="9"/>
      <c r="C49" s="9"/>
    </row>
    <row r="50">
      <c r="B50" s="9"/>
      <c r="C50" s="9"/>
    </row>
    <row r="51">
      <c r="B51" s="9"/>
      <c r="C51" s="9"/>
    </row>
    <row r="52">
      <c r="B52" s="9"/>
      <c r="C52" s="9"/>
    </row>
    <row r="53">
      <c r="B53" s="9"/>
      <c r="C53" s="9"/>
    </row>
    <row r="54">
      <c r="B54" s="9"/>
      <c r="C54" s="9"/>
    </row>
    <row r="55">
      <c r="B55" s="9"/>
      <c r="C55" s="9"/>
    </row>
    <row r="56">
      <c r="B56" s="9"/>
      <c r="C56" s="9"/>
    </row>
    <row r="57">
      <c r="B57" s="9"/>
      <c r="C57" s="9"/>
    </row>
    <row r="58">
      <c r="B58" s="9"/>
      <c r="C58" s="9"/>
    </row>
    <row r="59">
      <c r="B59" s="9"/>
      <c r="C59" s="9"/>
    </row>
    <row r="60">
      <c r="B60" s="9"/>
      <c r="C60" s="9"/>
    </row>
    <row r="61">
      <c r="B61" s="9"/>
      <c r="C61" s="9"/>
    </row>
    <row r="62">
      <c r="B62" s="9"/>
      <c r="C62" s="9"/>
    </row>
    <row r="63">
      <c r="B63" s="9"/>
      <c r="C63" s="9"/>
    </row>
    <row r="64">
      <c r="B64" s="9"/>
      <c r="C64" s="9"/>
    </row>
    <row r="65">
      <c r="B65" s="9"/>
      <c r="C65" s="9"/>
    </row>
    <row r="66">
      <c r="B66" s="9"/>
      <c r="C66" s="9"/>
    </row>
    <row r="67">
      <c r="B67" s="9"/>
      <c r="C67" s="9"/>
    </row>
    <row r="68">
      <c r="B68" s="9"/>
      <c r="C68" s="9"/>
    </row>
    <row r="69">
      <c r="B69" s="9"/>
      <c r="C69" s="9"/>
    </row>
    <row r="70">
      <c r="B70" s="9"/>
      <c r="C70" s="9"/>
    </row>
    <row r="71">
      <c r="B71" s="9"/>
      <c r="C71" s="9"/>
    </row>
    <row r="72">
      <c r="B72" s="9"/>
      <c r="C72" s="9"/>
    </row>
    <row r="73">
      <c r="B73" s="9"/>
      <c r="C73" s="9"/>
    </row>
    <row r="74">
      <c r="B74" s="9"/>
      <c r="C74" s="9"/>
    </row>
    <row r="75">
      <c r="B75" s="9"/>
      <c r="C75" s="9"/>
    </row>
    <row r="76">
      <c r="B76" s="9"/>
      <c r="C76" s="9"/>
    </row>
    <row r="77">
      <c r="B77" s="9"/>
      <c r="C77" s="9"/>
    </row>
    <row r="78">
      <c r="B78" s="9"/>
      <c r="C78" s="9"/>
    </row>
    <row r="79">
      <c r="B79" s="9"/>
      <c r="C79" s="9"/>
    </row>
    <row r="80">
      <c r="B80" s="9"/>
      <c r="C80" s="9"/>
    </row>
    <row r="81">
      <c r="B81" s="9"/>
      <c r="C81" s="9"/>
    </row>
    <row r="82">
      <c r="B82" s="9"/>
      <c r="C82" s="9"/>
    </row>
    <row r="83">
      <c r="B83" s="9"/>
      <c r="C83" s="9"/>
    </row>
    <row r="84">
      <c r="B84" s="9"/>
      <c r="C84" s="9"/>
    </row>
    <row r="85">
      <c r="B85" s="9"/>
      <c r="C85" s="9"/>
    </row>
    <row r="86">
      <c r="B86" s="9"/>
      <c r="C86" s="9"/>
    </row>
    <row r="87">
      <c r="B87" s="9"/>
      <c r="C87" s="9"/>
    </row>
    <row r="88">
      <c r="B88" s="9"/>
      <c r="C88" s="9"/>
    </row>
    <row r="89">
      <c r="B89" s="9"/>
      <c r="C89" s="9"/>
    </row>
    <row r="90">
      <c r="B90" s="9"/>
      <c r="C90" s="9"/>
    </row>
    <row r="91">
      <c r="B91" s="9"/>
      <c r="C91" s="9"/>
    </row>
    <row r="92">
      <c r="B92" s="9"/>
      <c r="C92" s="9"/>
    </row>
    <row r="93">
      <c r="B93" s="9"/>
      <c r="C93" s="9"/>
    </row>
    <row r="94">
      <c r="B94" s="9"/>
      <c r="C94" s="9"/>
    </row>
    <row r="95">
      <c r="B95" s="9"/>
      <c r="C95" s="9"/>
    </row>
    <row r="96">
      <c r="B96" s="9"/>
      <c r="C96" s="9"/>
    </row>
    <row r="97">
      <c r="B97" s="9"/>
      <c r="C97" s="9"/>
    </row>
    <row r="98">
      <c r="B98" s="9"/>
      <c r="C98" s="9"/>
    </row>
    <row r="99">
      <c r="B99" s="9"/>
      <c r="C99" s="9"/>
    </row>
    <row r="100">
      <c r="B100" s="9"/>
      <c r="C100" s="9"/>
    </row>
    <row r="101">
      <c r="B101" s="9"/>
      <c r="C101" s="9"/>
    </row>
    <row r="102">
      <c r="B102" s="9"/>
      <c r="C102" s="9"/>
    </row>
    <row r="103">
      <c r="B103" s="9"/>
      <c r="C103" s="9"/>
    </row>
    <row r="104">
      <c r="B104" s="9"/>
      <c r="C104" s="9"/>
    </row>
    <row r="105">
      <c r="B105" s="9"/>
      <c r="C105" s="9"/>
    </row>
    <row r="106">
      <c r="B106" s="9"/>
      <c r="C106" s="9"/>
    </row>
    <row r="107">
      <c r="B107" s="9"/>
      <c r="C107" s="9"/>
    </row>
    <row r="108">
      <c r="B108" s="9"/>
      <c r="C108" s="9"/>
    </row>
    <row r="109">
      <c r="B109" s="9"/>
      <c r="C109" s="9"/>
    </row>
    <row r="110">
      <c r="B110" s="9"/>
      <c r="C110" s="9"/>
    </row>
    <row r="111">
      <c r="B111" s="9"/>
      <c r="C111" s="9"/>
    </row>
    <row r="112">
      <c r="B112" s="9"/>
      <c r="C112" s="9"/>
    </row>
    <row r="113">
      <c r="B113" s="9"/>
      <c r="C113" s="9"/>
    </row>
    <row r="114">
      <c r="B114" s="9"/>
      <c r="C114" s="9"/>
    </row>
    <row r="115">
      <c r="B115" s="9"/>
      <c r="C115" s="9"/>
    </row>
    <row r="116">
      <c r="B116" s="9"/>
      <c r="C116" s="9"/>
    </row>
    <row r="117">
      <c r="B117" s="9"/>
      <c r="C117" s="9"/>
    </row>
    <row r="118">
      <c r="B118" s="9"/>
      <c r="C118" s="9"/>
    </row>
    <row r="119">
      <c r="B119" s="9"/>
      <c r="C119" s="9"/>
    </row>
    <row r="120">
      <c r="B120" s="9"/>
      <c r="C120" s="9"/>
    </row>
    <row r="121">
      <c r="B121" s="9"/>
      <c r="C121" s="9"/>
    </row>
    <row r="122">
      <c r="B122" s="9"/>
      <c r="C122" s="9"/>
    </row>
    <row r="123">
      <c r="B123" s="9"/>
      <c r="C123" s="9"/>
    </row>
    <row r="124">
      <c r="B124" s="9"/>
      <c r="C124" s="9"/>
    </row>
    <row r="125">
      <c r="B125" s="9"/>
      <c r="C125" s="9"/>
    </row>
    <row r="126">
      <c r="B126" s="9"/>
      <c r="C126" s="9"/>
    </row>
    <row r="127">
      <c r="B127" s="9"/>
      <c r="C127" s="9"/>
    </row>
    <row r="128">
      <c r="B128" s="9"/>
      <c r="C128" s="9"/>
    </row>
    <row r="129">
      <c r="B129" s="9"/>
      <c r="C129" s="9"/>
    </row>
    <row r="130">
      <c r="B130" s="9"/>
      <c r="C130" s="9"/>
    </row>
    <row r="131">
      <c r="B131" s="9"/>
      <c r="C131" s="9"/>
    </row>
    <row r="132">
      <c r="B132" s="9"/>
      <c r="C132" s="9"/>
    </row>
    <row r="133">
      <c r="B133" s="9"/>
      <c r="C133" s="9"/>
    </row>
    <row r="134">
      <c r="B134" s="9"/>
      <c r="C134" s="9"/>
    </row>
    <row r="135">
      <c r="B135" s="9"/>
      <c r="C135" s="9"/>
    </row>
    <row r="136">
      <c r="B136" s="9"/>
      <c r="C136" s="9"/>
    </row>
    <row r="137">
      <c r="B137" s="9"/>
      <c r="C137" s="9"/>
    </row>
    <row r="138">
      <c r="B138" s="9"/>
      <c r="C138" s="9"/>
    </row>
    <row r="139">
      <c r="B139" s="9"/>
      <c r="C139" s="9"/>
    </row>
    <row r="140">
      <c r="B140" s="9"/>
      <c r="C140" s="9"/>
    </row>
    <row r="141">
      <c r="B141" s="9"/>
      <c r="C141" s="9"/>
    </row>
    <row r="142">
      <c r="B142" s="9"/>
      <c r="C142" s="9"/>
    </row>
    <row r="143">
      <c r="B143" s="9"/>
      <c r="C143" s="9"/>
    </row>
    <row r="144">
      <c r="B144" s="9"/>
      <c r="C144" s="9"/>
    </row>
    <row r="145">
      <c r="B145" s="9"/>
      <c r="C145" s="9"/>
    </row>
    <row r="146">
      <c r="B146" s="9"/>
      <c r="C146" s="9"/>
    </row>
    <row r="147">
      <c r="B147" s="9"/>
      <c r="C147" s="9"/>
    </row>
    <row r="148">
      <c r="B148" s="9"/>
      <c r="C148" s="9"/>
    </row>
    <row r="149">
      <c r="B149" s="9"/>
      <c r="C149" s="9"/>
    </row>
    <row r="150">
      <c r="B150" s="9"/>
      <c r="C150" s="9"/>
    </row>
    <row r="151">
      <c r="B151" s="9"/>
      <c r="C151" s="9"/>
    </row>
    <row r="152">
      <c r="B152" s="9"/>
      <c r="C152" s="9"/>
    </row>
    <row r="153">
      <c r="B153" s="9"/>
      <c r="C153" s="9"/>
    </row>
    <row r="154">
      <c r="B154" s="9"/>
      <c r="C154" s="9"/>
    </row>
    <row r="155">
      <c r="B155" s="9"/>
      <c r="C155" s="9"/>
    </row>
    <row r="156">
      <c r="B156" s="9"/>
      <c r="C156" s="9"/>
    </row>
    <row r="157">
      <c r="B157" s="9"/>
      <c r="C157" s="9"/>
    </row>
    <row r="158">
      <c r="B158" s="9"/>
      <c r="C158" s="9"/>
    </row>
    <row r="159">
      <c r="B159" s="9"/>
      <c r="C159" s="9"/>
    </row>
    <row r="160">
      <c r="B160" s="9"/>
      <c r="C160" s="9"/>
    </row>
    <row r="161">
      <c r="B161" s="9"/>
      <c r="C161" s="9"/>
    </row>
    <row r="162">
      <c r="B162" s="9"/>
      <c r="C162" s="9"/>
    </row>
    <row r="163">
      <c r="B163" s="9"/>
      <c r="C163" s="9"/>
    </row>
    <row r="164">
      <c r="B164" s="9"/>
      <c r="C164" s="9"/>
    </row>
    <row r="165">
      <c r="B165" s="9"/>
      <c r="C165" s="9"/>
    </row>
    <row r="166">
      <c r="B166" s="9"/>
      <c r="C166" s="9"/>
    </row>
    <row r="167">
      <c r="B167" s="9"/>
      <c r="C167" s="9"/>
    </row>
    <row r="168">
      <c r="B168" s="9"/>
      <c r="C168" s="9"/>
    </row>
    <row r="169">
      <c r="B169" s="9"/>
      <c r="C169" s="9"/>
    </row>
    <row r="170">
      <c r="B170" s="9"/>
      <c r="C170" s="9"/>
    </row>
    <row r="171">
      <c r="B171" s="9"/>
      <c r="C171" s="9"/>
    </row>
    <row r="172">
      <c r="B172" s="9"/>
      <c r="C172" s="9"/>
    </row>
    <row r="173">
      <c r="B173" s="9"/>
      <c r="C173" s="9"/>
    </row>
    <row r="174">
      <c r="B174" s="9"/>
      <c r="C174" s="9"/>
    </row>
    <row r="175">
      <c r="B175" s="9"/>
      <c r="C175" s="9"/>
    </row>
    <row r="176">
      <c r="B176" s="9"/>
      <c r="C176" s="9"/>
    </row>
    <row r="177">
      <c r="B177" s="9"/>
      <c r="C177" s="9"/>
    </row>
    <row r="178">
      <c r="B178" s="9"/>
      <c r="C178" s="9"/>
    </row>
    <row r="179">
      <c r="B179" s="9"/>
      <c r="C179" s="9"/>
    </row>
    <row r="180">
      <c r="B180" s="9"/>
      <c r="C180" s="9"/>
    </row>
    <row r="181">
      <c r="B181" s="9"/>
      <c r="C181" s="9"/>
    </row>
    <row r="182">
      <c r="B182" s="9"/>
      <c r="C182" s="9"/>
    </row>
    <row r="183">
      <c r="B183" s="9"/>
      <c r="C183" s="9"/>
    </row>
    <row r="184">
      <c r="B184" s="9"/>
      <c r="C184" s="9"/>
    </row>
    <row r="185">
      <c r="B185" s="9"/>
      <c r="C185" s="9"/>
    </row>
    <row r="186">
      <c r="B186" s="9"/>
      <c r="C186" s="9"/>
    </row>
    <row r="187">
      <c r="B187" s="9"/>
      <c r="C187" s="9"/>
    </row>
    <row r="188">
      <c r="B188" s="9"/>
      <c r="C188" s="9"/>
    </row>
    <row r="189">
      <c r="B189" s="9"/>
      <c r="C189" s="9"/>
    </row>
    <row r="190">
      <c r="B190" s="9"/>
      <c r="C190" s="9"/>
    </row>
    <row r="191">
      <c r="B191" s="9"/>
      <c r="C191" s="9"/>
    </row>
    <row r="192">
      <c r="B192" s="9"/>
      <c r="C192" s="9"/>
    </row>
    <row r="193">
      <c r="B193" s="9"/>
      <c r="C193" s="9"/>
    </row>
    <row r="194">
      <c r="B194" s="9"/>
      <c r="C194" s="9"/>
    </row>
    <row r="195">
      <c r="B195" s="9"/>
      <c r="C195" s="9"/>
    </row>
    <row r="196">
      <c r="B196" s="9"/>
      <c r="C196" s="9"/>
    </row>
    <row r="197">
      <c r="B197" s="9"/>
      <c r="C197" s="9"/>
    </row>
    <row r="198">
      <c r="B198" s="9"/>
      <c r="C198" s="9"/>
    </row>
    <row r="199">
      <c r="B199" s="9"/>
      <c r="C199" s="9"/>
    </row>
    <row r="200">
      <c r="B200" s="9"/>
      <c r="C200" s="9"/>
    </row>
    <row r="201">
      <c r="B201" s="9"/>
      <c r="C201" s="9"/>
    </row>
    <row r="202">
      <c r="B202" s="9"/>
      <c r="C202" s="9"/>
    </row>
    <row r="203">
      <c r="B203" s="9"/>
      <c r="C203" s="9"/>
    </row>
    <row r="204">
      <c r="B204" s="9"/>
      <c r="C204" s="9"/>
    </row>
    <row r="205">
      <c r="B205" s="9"/>
      <c r="C205" s="9"/>
    </row>
    <row r="206">
      <c r="B206" s="9"/>
      <c r="C206" s="9"/>
    </row>
    <row r="207">
      <c r="B207" s="9"/>
      <c r="C207" s="9"/>
    </row>
    <row r="208">
      <c r="B208" s="9"/>
      <c r="C208" s="9"/>
    </row>
    <row r="209">
      <c r="B209" s="9"/>
      <c r="C209" s="9"/>
    </row>
    <row r="210">
      <c r="B210" s="9"/>
      <c r="C210" s="9"/>
    </row>
    <row r="211">
      <c r="B211" s="9"/>
      <c r="C211" s="9"/>
    </row>
    <row r="212">
      <c r="B212" s="9"/>
      <c r="C212" s="9"/>
    </row>
    <row r="213">
      <c r="B213" s="9"/>
      <c r="C213" s="9"/>
    </row>
    <row r="214">
      <c r="B214" s="9"/>
      <c r="C214" s="9"/>
    </row>
    <row r="215">
      <c r="B215" s="9"/>
      <c r="C215" s="9"/>
    </row>
    <row r="216">
      <c r="B216" s="9"/>
      <c r="C216" s="9"/>
    </row>
    <row r="217">
      <c r="B217" s="9"/>
      <c r="C217" s="9"/>
    </row>
    <row r="218">
      <c r="B218" s="9"/>
      <c r="C218" s="9"/>
    </row>
    <row r="219">
      <c r="B219" s="9"/>
      <c r="C219" s="9"/>
    </row>
    <row r="220">
      <c r="B220" s="9"/>
      <c r="C220" s="9"/>
    </row>
    <row r="221">
      <c r="B221" s="9"/>
      <c r="C221" s="9"/>
    </row>
    <row r="222">
      <c r="B222" s="9"/>
      <c r="C222" s="9"/>
    </row>
    <row r="223">
      <c r="B223" s="9"/>
      <c r="C223" s="9"/>
    </row>
    <row r="224">
      <c r="B224" s="9"/>
      <c r="C224" s="9"/>
    </row>
    <row r="225">
      <c r="B225" s="9"/>
      <c r="C225" s="9"/>
    </row>
    <row r="226">
      <c r="B226" s="9"/>
      <c r="C226" s="9"/>
    </row>
    <row r="227">
      <c r="B227" s="9"/>
      <c r="C227" s="9"/>
    </row>
    <row r="228">
      <c r="B228" s="9"/>
      <c r="C228" s="9"/>
    </row>
    <row r="229">
      <c r="B229" s="9"/>
      <c r="C229" s="9"/>
    </row>
    <row r="230">
      <c r="B230" s="9"/>
      <c r="C230" s="9"/>
    </row>
    <row r="231">
      <c r="B231" s="9"/>
      <c r="C231" s="9"/>
    </row>
    <row r="232">
      <c r="B232" s="9"/>
      <c r="C232" s="9"/>
    </row>
    <row r="233">
      <c r="B233" s="9"/>
      <c r="C233" s="9"/>
    </row>
    <row r="234">
      <c r="B234" s="9"/>
      <c r="C234" s="9"/>
    </row>
    <row r="235">
      <c r="B235" s="9"/>
      <c r="C235" s="9"/>
    </row>
    <row r="236">
      <c r="B236" s="9"/>
      <c r="C236" s="9"/>
    </row>
    <row r="237">
      <c r="B237" s="9"/>
      <c r="C237" s="9"/>
    </row>
    <row r="238">
      <c r="B238" s="9"/>
      <c r="C238" s="9"/>
    </row>
    <row r="239">
      <c r="B239" s="9"/>
      <c r="C239" s="9"/>
    </row>
    <row r="240">
      <c r="B240" s="9"/>
      <c r="C240" s="9"/>
    </row>
    <row r="241">
      <c r="B241" s="9"/>
      <c r="C241" s="9"/>
    </row>
    <row r="242">
      <c r="B242" s="9"/>
      <c r="C242" s="9"/>
    </row>
    <row r="243">
      <c r="B243" s="9"/>
      <c r="C243" s="9"/>
    </row>
    <row r="244">
      <c r="B244" s="9"/>
      <c r="C244" s="9"/>
    </row>
    <row r="245">
      <c r="B245" s="9"/>
      <c r="C245" s="9"/>
    </row>
    <row r="246">
      <c r="B246" s="9"/>
      <c r="C246" s="9"/>
    </row>
    <row r="247">
      <c r="B247" s="9"/>
      <c r="C247" s="9"/>
    </row>
    <row r="248">
      <c r="B248" s="9"/>
      <c r="C248" s="9"/>
    </row>
    <row r="249">
      <c r="B249" s="9"/>
      <c r="C249" s="9"/>
    </row>
    <row r="250">
      <c r="B250" s="9"/>
      <c r="C250" s="9"/>
    </row>
    <row r="251">
      <c r="B251" s="9"/>
      <c r="C251" s="9"/>
    </row>
    <row r="252">
      <c r="B252" s="9"/>
      <c r="C252" s="9"/>
    </row>
    <row r="253">
      <c r="B253" s="9"/>
      <c r="C253" s="9"/>
    </row>
    <row r="254">
      <c r="B254" s="9"/>
      <c r="C254" s="9"/>
    </row>
    <row r="255">
      <c r="B255" s="9"/>
      <c r="C255" s="9"/>
    </row>
    <row r="256">
      <c r="B256" s="9"/>
      <c r="C256" s="9"/>
    </row>
    <row r="257">
      <c r="B257" s="9"/>
      <c r="C257" s="9"/>
    </row>
    <row r="258">
      <c r="B258" s="9"/>
      <c r="C258" s="9"/>
    </row>
    <row r="259">
      <c r="B259" s="9"/>
      <c r="C259" s="9"/>
    </row>
    <row r="260">
      <c r="B260" s="9"/>
      <c r="C260" s="9"/>
    </row>
    <row r="261">
      <c r="B261" s="9"/>
      <c r="C261" s="9"/>
    </row>
    <row r="262">
      <c r="B262" s="9"/>
      <c r="C262" s="9"/>
    </row>
    <row r="263">
      <c r="B263" s="9"/>
      <c r="C263" s="9"/>
    </row>
    <row r="264">
      <c r="B264" s="9"/>
      <c r="C264" s="9"/>
    </row>
    <row r="265">
      <c r="B265" s="9"/>
      <c r="C265" s="9"/>
    </row>
    <row r="266">
      <c r="B266" s="9"/>
      <c r="C266" s="9"/>
    </row>
    <row r="267">
      <c r="B267" s="9"/>
      <c r="C267" s="9"/>
    </row>
    <row r="268">
      <c r="B268" s="9"/>
      <c r="C268" s="9"/>
    </row>
    <row r="269">
      <c r="B269" s="9"/>
      <c r="C269" s="9"/>
    </row>
    <row r="270">
      <c r="B270" s="9"/>
      <c r="C270" s="9"/>
    </row>
    <row r="271">
      <c r="B271" s="9"/>
      <c r="C271" s="9"/>
    </row>
    <row r="272">
      <c r="B272" s="9"/>
      <c r="C272" s="9"/>
    </row>
    <row r="273">
      <c r="B273" s="9"/>
      <c r="C273" s="9"/>
    </row>
    <row r="274">
      <c r="B274" s="9"/>
      <c r="C274" s="9"/>
    </row>
    <row r="275">
      <c r="B275" s="9"/>
      <c r="C275" s="9"/>
    </row>
    <row r="276">
      <c r="B276" s="9"/>
      <c r="C276" s="9"/>
    </row>
    <row r="277">
      <c r="B277" s="9"/>
      <c r="C277" s="9"/>
    </row>
    <row r="278">
      <c r="B278" s="9"/>
      <c r="C278" s="9"/>
    </row>
    <row r="279">
      <c r="B279" s="9"/>
      <c r="C279" s="9"/>
    </row>
    <row r="280">
      <c r="B280" s="9"/>
      <c r="C280" s="9"/>
    </row>
    <row r="281">
      <c r="B281" s="9"/>
      <c r="C281" s="9"/>
    </row>
    <row r="282">
      <c r="B282" s="9"/>
      <c r="C282" s="9"/>
    </row>
    <row r="283">
      <c r="B283" s="9"/>
      <c r="C283" s="9"/>
    </row>
    <row r="284">
      <c r="B284" s="9"/>
      <c r="C284" s="9"/>
    </row>
    <row r="285">
      <c r="B285" s="9"/>
      <c r="C285" s="9"/>
    </row>
    <row r="286">
      <c r="B286" s="9"/>
      <c r="C286" s="9"/>
    </row>
    <row r="287">
      <c r="B287" s="9"/>
      <c r="C287" s="9"/>
    </row>
    <row r="288">
      <c r="B288" s="9"/>
      <c r="C288" s="9"/>
    </row>
    <row r="289">
      <c r="B289" s="9"/>
      <c r="C289" s="9"/>
    </row>
    <row r="290">
      <c r="B290" s="9"/>
      <c r="C290" s="9"/>
    </row>
    <row r="291">
      <c r="B291" s="9"/>
      <c r="C291" s="9"/>
    </row>
    <row r="292">
      <c r="B292" s="9"/>
      <c r="C292" s="9"/>
    </row>
    <row r="293">
      <c r="B293" s="9"/>
      <c r="C293" s="9"/>
    </row>
    <row r="294">
      <c r="B294" s="9"/>
      <c r="C294" s="9"/>
    </row>
    <row r="295">
      <c r="B295" s="9"/>
      <c r="C295" s="9"/>
    </row>
    <row r="296">
      <c r="B296" s="9"/>
      <c r="C296" s="9"/>
    </row>
    <row r="297">
      <c r="B297" s="9"/>
      <c r="C297" s="9"/>
    </row>
    <row r="298">
      <c r="B298" s="9"/>
      <c r="C298" s="9"/>
    </row>
    <row r="299">
      <c r="B299" s="9"/>
      <c r="C299" s="9"/>
    </row>
    <row r="300">
      <c r="B300" s="9"/>
      <c r="C300" s="9"/>
    </row>
    <row r="301">
      <c r="B301" s="9"/>
      <c r="C301" s="9"/>
    </row>
    <row r="302">
      <c r="B302" s="9"/>
      <c r="C302" s="9"/>
    </row>
    <row r="303">
      <c r="B303" s="9"/>
      <c r="C303" s="9"/>
    </row>
    <row r="304">
      <c r="B304" s="9"/>
      <c r="C304" s="9"/>
    </row>
    <row r="305">
      <c r="B305" s="9"/>
      <c r="C305" s="9"/>
    </row>
    <row r="306">
      <c r="B306" s="9"/>
      <c r="C306" s="9"/>
    </row>
    <row r="307">
      <c r="B307" s="9"/>
      <c r="C307" s="9"/>
    </row>
    <row r="308">
      <c r="B308" s="9"/>
      <c r="C308" s="9"/>
    </row>
    <row r="309">
      <c r="B309" s="9"/>
      <c r="C309" s="9"/>
    </row>
    <row r="310">
      <c r="B310" s="9"/>
      <c r="C310" s="9"/>
    </row>
    <row r="311">
      <c r="B311" s="9"/>
      <c r="C311" s="9"/>
    </row>
    <row r="312">
      <c r="B312" s="9"/>
      <c r="C312" s="9"/>
    </row>
    <row r="313">
      <c r="B313" s="9"/>
      <c r="C313" s="9"/>
    </row>
    <row r="314">
      <c r="B314" s="9"/>
      <c r="C314" s="9"/>
    </row>
    <row r="315">
      <c r="B315" s="9"/>
      <c r="C315" s="9"/>
    </row>
    <row r="316">
      <c r="B316" s="9"/>
      <c r="C316" s="9"/>
    </row>
    <row r="317">
      <c r="B317" s="9"/>
      <c r="C317" s="9"/>
    </row>
    <row r="318">
      <c r="B318" s="9"/>
      <c r="C318" s="9"/>
    </row>
    <row r="319">
      <c r="B319" s="9"/>
      <c r="C319" s="9"/>
    </row>
    <row r="320">
      <c r="B320" s="9"/>
      <c r="C320" s="9"/>
    </row>
    <row r="321">
      <c r="B321" s="9"/>
      <c r="C321" s="9"/>
    </row>
    <row r="322">
      <c r="B322" s="9"/>
      <c r="C322" s="9"/>
    </row>
    <row r="323">
      <c r="B323" s="9"/>
      <c r="C323" s="9"/>
    </row>
    <row r="324">
      <c r="B324" s="9"/>
      <c r="C324" s="9"/>
    </row>
    <row r="325">
      <c r="B325" s="9"/>
      <c r="C325" s="9"/>
    </row>
    <row r="326">
      <c r="B326" s="9"/>
      <c r="C326" s="9"/>
    </row>
    <row r="327">
      <c r="B327" s="9"/>
      <c r="C327" s="9"/>
    </row>
    <row r="328">
      <c r="B328" s="9"/>
      <c r="C328" s="9"/>
    </row>
    <row r="329">
      <c r="B329" s="9"/>
      <c r="C329" s="9"/>
    </row>
    <row r="330">
      <c r="B330" s="9"/>
      <c r="C330" s="9"/>
    </row>
    <row r="331">
      <c r="B331" s="9"/>
      <c r="C331" s="9"/>
    </row>
    <row r="332">
      <c r="B332" s="9"/>
      <c r="C332" s="9"/>
    </row>
    <row r="333">
      <c r="B333" s="9"/>
      <c r="C333" s="9"/>
    </row>
    <row r="334">
      <c r="B334" s="9"/>
      <c r="C334" s="9"/>
    </row>
    <row r="335">
      <c r="B335" s="9"/>
      <c r="C335" s="9"/>
    </row>
    <row r="336">
      <c r="B336" s="9"/>
      <c r="C336" s="9"/>
    </row>
    <row r="337">
      <c r="B337" s="9"/>
      <c r="C337" s="9"/>
    </row>
    <row r="338">
      <c r="B338" s="9"/>
      <c r="C338" s="9"/>
    </row>
    <row r="339">
      <c r="B339" s="9"/>
      <c r="C339" s="9"/>
    </row>
    <row r="340">
      <c r="B340" s="9"/>
      <c r="C340" s="9"/>
    </row>
    <row r="341">
      <c r="B341" s="9"/>
      <c r="C341" s="9"/>
    </row>
    <row r="342">
      <c r="B342" s="9"/>
      <c r="C342" s="9"/>
    </row>
    <row r="343">
      <c r="B343" s="9"/>
      <c r="C343" s="9"/>
    </row>
    <row r="344">
      <c r="B344" s="9"/>
      <c r="C344" s="9"/>
    </row>
    <row r="345">
      <c r="B345" s="9"/>
      <c r="C345" s="9"/>
    </row>
    <row r="346">
      <c r="B346" s="9"/>
      <c r="C346" s="9"/>
    </row>
    <row r="347">
      <c r="B347" s="9"/>
      <c r="C347" s="9"/>
    </row>
    <row r="348">
      <c r="B348" s="9"/>
      <c r="C348" s="9"/>
    </row>
    <row r="349">
      <c r="B349" s="9"/>
      <c r="C349" s="9"/>
    </row>
    <row r="350">
      <c r="B350" s="9"/>
      <c r="C350" s="9"/>
    </row>
    <row r="351">
      <c r="B351" s="9"/>
      <c r="C351" s="9"/>
    </row>
    <row r="352">
      <c r="B352" s="9"/>
      <c r="C352" s="9"/>
    </row>
    <row r="353">
      <c r="B353" s="9"/>
      <c r="C353" s="9"/>
    </row>
    <row r="354">
      <c r="B354" s="9"/>
      <c r="C354" s="9"/>
    </row>
    <row r="355">
      <c r="B355" s="9"/>
      <c r="C355" s="9"/>
    </row>
    <row r="356">
      <c r="B356" s="9"/>
      <c r="C356" s="9"/>
    </row>
    <row r="357">
      <c r="B357" s="9"/>
      <c r="C357" s="9"/>
    </row>
    <row r="358">
      <c r="B358" s="9"/>
      <c r="C358" s="9"/>
    </row>
    <row r="359">
      <c r="B359" s="9"/>
      <c r="C359" s="9"/>
    </row>
    <row r="360">
      <c r="B360" s="9"/>
      <c r="C360" s="9"/>
    </row>
    <row r="361">
      <c r="B361" s="9"/>
      <c r="C361" s="9"/>
    </row>
    <row r="362">
      <c r="B362" s="9"/>
      <c r="C362" s="9"/>
    </row>
    <row r="363">
      <c r="B363" s="9"/>
      <c r="C363" s="9"/>
    </row>
    <row r="364">
      <c r="B364" s="9"/>
      <c r="C364" s="9"/>
    </row>
    <row r="365">
      <c r="B365" s="9"/>
      <c r="C365" s="9"/>
    </row>
    <row r="366">
      <c r="B366" s="9"/>
      <c r="C366" s="9"/>
    </row>
    <row r="367">
      <c r="B367" s="9"/>
      <c r="C367" s="9"/>
    </row>
    <row r="368">
      <c r="B368" s="9"/>
      <c r="C368" s="9"/>
    </row>
    <row r="369">
      <c r="B369" s="9"/>
      <c r="C369" s="9"/>
    </row>
    <row r="370">
      <c r="B370" s="9"/>
      <c r="C370" s="9"/>
    </row>
    <row r="371">
      <c r="B371" s="9"/>
      <c r="C371" s="9"/>
    </row>
    <row r="372">
      <c r="B372" s="9"/>
      <c r="C372" s="9"/>
    </row>
    <row r="373">
      <c r="B373" s="9"/>
      <c r="C373" s="9"/>
    </row>
    <row r="374">
      <c r="B374" s="9"/>
      <c r="C374" s="9"/>
    </row>
    <row r="375">
      <c r="B375" s="9"/>
      <c r="C375" s="9"/>
    </row>
    <row r="376">
      <c r="B376" s="9"/>
      <c r="C376" s="9"/>
    </row>
    <row r="377">
      <c r="B377" s="9"/>
      <c r="C377" s="9"/>
    </row>
    <row r="378">
      <c r="B378" s="9"/>
      <c r="C378" s="9"/>
    </row>
    <row r="379">
      <c r="B379" s="9"/>
      <c r="C379" s="9"/>
    </row>
    <row r="380">
      <c r="B380" s="9"/>
      <c r="C380" s="9"/>
    </row>
    <row r="381">
      <c r="B381" s="9"/>
      <c r="C381" s="9"/>
    </row>
    <row r="382">
      <c r="B382" s="9"/>
      <c r="C382" s="9"/>
    </row>
    <row r="383">
      <c r="B383" s="9"/>
      <c r="C383" s="9"/>
    </row>
    <row r="384">
      <c r="B384" s="9"/>
      <c r="C384" s="9"/>
    </row>
    <row r="385">
      <c r="B385" s="9"/>
      <c r="C385" s="9"/>
    </row>
    <row r="386">
      <c r="B386" s="9"/>
      <c r="C386" s="9"/>
    </row>
    <row r="387">
      <c r="B387" s="9"/>
      <c r="C387" s="9"/>
    </row>
    <row r="388">
      <c r="B388" s="9"/>
      <c r="C388" s="9"/>
    </row>
    <row r="389">
      <c r="B389" s="9"/>
      <c r="C389" s="9"/>
    </row>
    <row r="390">
      <c r="B390" s="9"/>
      <c r="C390" s="9"/>
    </row>
    <row r="391">
      <c r="B391" s="9"/>
      <c r="C391" s="9"/>
    </row>
    <row r="392">
      <c r="B392" s="9"/>
      <c r="C392" s="9"/>
    </row>
    <row r="393">
      <c r="B393" s="9"/>
      <c r="C393" s="9"/>
    </row>
    <row r="394">
      <c r="B394" s="9"/>
      <c r="C394" s="9"/>
    </row>
    <row r="395">
      <c r="B395" s="9"/>
      <c r="C395" s="9"/>
    </row>
    <row r="396">
      <c r="B396" s="9"/>
      <c r="C396" s="9"/>
    </row>
    <row r="397">
      <c r="B397" s="9"/>
      <c r="C397" s="9"/>
    </row>
    <row r="398">
      <c r="B398" s="9"/>
      <c r="C398" s="9"/>
    </row>
    <row r="399">
      <c r="B399" s="9"/>
      <c r="C399" s="9"/>
    </row>
    <row r="400">
      <c r="B400" s="9"/>
      <c r="C400" s="9"/>
    </row>
    <row r="401">
      <c r="B401" s="9"/>
      <c r="C401" s="9"/>
    </row>
    <row r="402">
      <c r="B402" s="9"/>
      <c r="C402" s="9"/>
    </row>
    <row r="403">
      <c r="B403" s="9"/>
      <c r="C403" s="9"/>
    </row>
    <row r="404">
      <c r="B404" s="9"/>
      <c r="C404" s="9"/>
    </row>
    <row r="405">
      <c r="B405" s="9"/>
      <c r="C405" s="9"/>
    </row>
    <row r="406">
      <c r="B406" s="9"/>
      <c r="C406" s="9"/>
    </row>
    <row r="407">
      <c r="B407" s="9"/>
      <c r="C407" s="9"/>
    </row>
    <row r="408">
      <c r="B408" s="9"/>
      <c r="C408" s="9"/>
    </row>
    <row r="409">
      <c r="B409" s="9"/>
      <c r="C409" s="9"/>
    </row>
    <row r="410">
      <c r="B410" s="9"/>
      <c r="C410" s="9"/>
    </row>
    <row r="411">
      <c r="B411" s="9"/>
      <c r="C411" s="9"/>
    </row>
    <row r="412">
      <c r="B412" s="9"/>
      <c r="C412" s="9"/>
    </row>
    <row r="413">
      <c r="B413" s="9"/>
      <c r="C413" s="9"/>
    </row>
    <row r="414">
      <c r="B414" s="9"/>
      <c r="C414" s="9"/>
    </row>
    <row r="415">
      <c r="B415" s="9"/>
      <c r="C415" s="9"/>
    </row>
    <row r="416">
      <c r="B416" s="9"/>
      <c r="C416" s="9"/>
    </row>
    <row r="417">
      <c r="B417" s="9"/>
      <c r="C417" s="9"/>
    </row>
    <row r="418">
      <c r="B418" s="9"/>
      <c r="C418" s="9"/>
    </row>
    <row r="419">
      <c r="B419" s="9"/>
      <c r="C419" s="9"/>
    </row>
    <row r="420">
      <c r="B420" s="9"/>
      <c r="C420" s="9"/>
    </row>
    <row r="421">
      <c r="B421" s="9"/>
      <c r="C421" s="9"/>
    </row>
    <row r="422">
      <c r="B422" s="9"/>
      <c r="C422" s="9"/>
    </row>
    <row r="423">
      <c r="B423" s="9"/>
      <c r="C423" s="9"/>
    </row>
    <row r="424">
      <c r="B424" s="9"/>
      <c r="C424" s="9"/>
    </row>
    <row r="425">
      <c r="B425" s="9"/>
      <c r="C425" s="9"/>
    </row>
    <row r="426">
      <c r="B426" s="9"/>
      <c r="C426" s="9"/>
    </row>
    <row r="427">
      <c r="B427" s="9"/>
      <c r="C427" s="9"/>
    </row>
    <row r="428">
      <c r="B428" s="9"/>
      <c r="C428" s="9"/>
    </row>
    <row r="429">
      <c r="B429" s="9"/>
      <c r="C429" s="9"/>
    </row>
    <row r="430">
      <c r="B430" s="9"/>
      <c r="C430" s="9"/>
    </row>
    <row r="431">
      <c r="B431" s="9"/>
      <c r="C431" s="9"/>
    </row>
    <row r="432">
      <c r="B432" s="9"/>
      <c r="C432" s="9"/>
    </row>
    <row r="433">
      <c r="B433" s="9"/>
      <c r="C433" s="9"/>
    </row>
    <row r="434">
      <c r="B434" s="9"/>
      <c r="C434" s="9"/>
    </row>
    <row r="435">
      <c r="B435" s="9"/>
      <c r="C435" s="9"/>
    </row>
    <row r="436">
      <c r="B436" s="9"/>
      <c r="C436" s="9"/>
    </row>
    <row r="437">
      <c r="B437" s="9"/>
      <c r="C437" s="9"/>
    </row>
    <row r="438">
      <c r="B438" s="9"/>
      <c r="C438" s="9"/>
    </row>
    <row r="439">
      <c r="B439" s="9"/>
      <c r="C439" s="9"/>
    </row>
    <row r="440">
      <c r="B440" s="9"/>
      <c r="C440" s="9"/>
    </row>
    <row r="441">
      <c r="B441" s="9"/>
      <c r="C441" s="9"/>
    </row>
    <row r="442">
      <c r="B442" s="9"/>
      <c r="C442" s="9"/>
    </row>
    <row r="443">
      <c r="B443" s="9"/>
      <c r="C443" s="9"/>
    </row>
    <row r="444">
      <c r="B444" s="9"/>
      <c r="C444" s="9"/>
    </row>
    <row r="445">
      <c r="B445" s="9"/>
      <c r="C445" s="9"/>
    </row>
    <row r="446">
      <c r="B446" s="9"/>
      <c r="C446" s="9"/>
    </row>
    <row r="447">
      <c r="B447" s="9"/>
      <c r="C447" s="9"/>
    </row>
    <row r="448">
      <c r="B448" s="9"/>
      <c r="C448" s="9"/>
    </row>
    <row r="449">
      <c r="B449" s="9"/>
      <c r="C449" s="9"/>
    </row>
    <row r="450">
      <c r="B450" s="9"/>
      <c r="C450" s="9"/>
    </row>
    <row r="451">
      <c r="B451" s="9"/>
      <c r="C451" s="9"/>
    </row>
    <row r="452">
      <c r="B452" s="9"/>
      <c r="C452" s="9"/>
    </row>
    <row r="453">
      <c r="B453" s="9"/>
      <c r="C453" s="9"/>
    </row>
    <row r="454">
      <c r="B454" s="9"/>
      <c r="C454" s="9"/>
    </row>
    <row r="455">
      <c r="B455" s="9"/>
      <c r="C455" s="9"/>
    </row>
    <row r="456">
      <c r="B456" s="9"/>
      <c r="C456" s="9"/>
    </row>
    <row r="457">
      <c r="B457" s="9"/>
      <c r="C457" s="9"/>
    </row>
    <row r="458">
      <c r="B458" s="9"/>
      <c r="C458" s="9"/>
    </row>
    <row r="459">
      <c r="B459" s="9"/>
      <c r="C459" s="9"/>
    </row>
    <row r="460">
      <c r="B460" s="9"/>
      <c r="C460" s="9"/>
    </row>
    <row r="461">
      <c r="B461" s="9"/>
      <c r="C461" s="9"/>
    </row>
    <row r="462">
      <c r="B462" s="9"/>
      <c r="C462" s="9"/>
    </row>
    <row r="463">
      <c r="B463" s="9"/>
      <c r="C463" s="9"/>
    </row>
    <row r="464">
      <c r="B464" s="9"/>
      <c r="C464" s="9"/>
    </row>
    <row r="465">
      <c r="B465" s="9"/>
      <c r="C465" s="9"/>
    </row>
    <row r="466">
      <c r="B466" s="9"/>
      <c r="C466" s="9"/>
    </row>
    <row r="467">
      <c r="B467" s="9"/>
      <c r="C467" s="9"/>
    </row>
    <row r="468">
      <c r="B468" s="9"/>
      <c r="C468" s="9"/>
    </row>
    <row r="469">
      <c r="B469" s="9"/>
      <c r="C469" s="9"/>
    </row>
    <row r="470">
      <c r="B470" s="9"/>
      <c r="C470" s="9"/>
    </row>
    <row r="471">
      <c r="B471" s="9"/>
      <c r="C471" s="9"/>
    </row>
    <row r="472">
      <c r="B472" s="9"/>
      <c r="C472" s="9"/>
    </row>
    <row r="473">
      <c r="B473" s="9"/>
      <c r="C473" s="9"/>
    </row>
    <row r="474">
      <c r="B474" s="9"/>
      <c r="C474" s="9"/>
    </row>
    <row r="475">
      <c r="B475" s="9"/>
      <c r="C475" s="9"/>
    </row>
    <row r="476">
      <c r="B476" s="9"/>
      <c r="C476" s="9"/>
    </row>
    <row r="477">
      <c r="B477" s="9"/>
      <c r="C477" s="9"/>
    </row>
    <row r="478">
      <c r="B478" s="9"/>
      <c r="C478" s="9"/>
    </row>
    <row r="479">
      <c r="B479" s="9"/>
      <c r="C479" s="9"/>
    </row>
    <row r="480">
      <c r="B480" s="9"/>
      <c r="C480" s="9"/>
    </row>
    <row r="481">
      <c r="B481" s="9"/>
      <c r="C481" s="9"/>
    </row>
    <row r="482">
      <c r="B482" s="9"/>
      <c r="C482" s="9"/>
    </row>
    <row r="483">
      <c r="B483" s="9"/>
      <c r="C483" s="9"/>
    </row>
    <row r="484">
      <c r="B484" s="9"/>
      <c r="C484" s="9"/>
    </row>
    <row r="485">
      <c r="B485" s="9"/>
      <c r="C485" s="9"/>
    </row>
    <row r="486">
      <c r="B486" s="9"/>
      <c r="C486" s="9"/>
    </row>
    <row r="487">
      <c r="B487" s="9"/>
      <c r="C487" s="9"/>
    </row>
    <row r="488">
      <c r="B488" s="9"/>
      <c r="C488" s="9"/>
    </row>
    <row r="489">
      <c r="B489" s="9"/>
      <c r="C489" s="9"/>
    </row>
    <row r="490">
      <c r="B490" s="9"/>
      <c r="C490" s="9"/>
    </row>
    <row r="491">
      <c r="B491" s="9"/>
      <c r="C491" s="9"/>
    </row>
    <row r="492">
      <c r="B492" s="9"/>
      <c r="C492" s="9"/>
    </row>
    <row r="493">
      <c r="B493" s="9"/>
      <c r="C493" s="9"/>
    </row>
    <row r="494">
      <c r="B494" s="9"/>
      <c r="C494" s="9"/>
    </row>
    <row r="495">
      <c r="B495" s="9"/>
      <c r="C495" s="9"/>
    </row>
    <row r="496">
      <c r="B496" s="9"/>
      <c r="C496" s="9"/>
    </row>
    <row r="497">
      <c r="B497" s="9"/>
      <c r="C497" s="9"/>
    </row>
    <row r="498">
      <c r="B498" s="9"/>
      <c r="C498" s="9"/>
    </row>
    <row r="499">
      <c r="B499" s="9"/>
      <c r="C499" s="9"/>
    </row>
    <row r="500">
      <c r="B500" s="9"/>
      <c r="C500" s="9"/>
    </row>
    <row r="501">
      <c r="B501" s="9"/>
      <c r="C501" s="9"/>
    </row>
    <row r="502">
      <c r="B502" s="9"/>
      <c r="C502" s="9"/>
    </row>
    <row r="503">
      <c r="B503" s="9"/>
      <c r="C503" s="9"/>
    </row>
    <row r="504">
      <c r="B504" s="9"/>
      <c r="C504" s="9"/>
    </row>
    <row r="505">
      <c r="B505" s="9"/>
      <c r="C505" s="9"/>
    </row>
    <row r="506">
      <c r="B506" s="9"/>
      <c r="C506" s="9"/>
    </row>
    <row r="507">
      <c r="B507" s="9"/>
      <c r="C507" s="9"/>
    </row>
    <row r="508">
      <c r="B508" s="9"/>
      <c r="C508" s="9"/>
    </row>
    <row r="509">
      <c r="B509" s="9"/>
      <c r="C509" s="9"/>
    </row>
    <row r="510">
      <c r="B510" s="9"/>
      <c r="C510" s="9"/>
    </row>
    <row r="511">
      <c r="B511" s="9"/>
      <c r="C511" s="9"/>
    </row>
    <row r="512">
      <c r="B512" s="9"/>
      <c r="C512" s="9"/>
    </row>
    <row r="513">
      <c r="B513" s="9"/>
      <c r="C513" s="9"/>
    </row>
    <row r="514">
      <c r="B514" s="9"/>
      <c r="C514" s="9"/>
    </row>
    <row r="515">
      <c r="B515" s="9"/>
      <c r="C515" s="9"/>
    </row>
    <row r="516">
      <c r="B516" s="9"/>
      <c r="C516" s="9"/>
    </row>
    <row r="517">
      <c r="B517" s="9"/>
      <c r="C517" s="9"/>
    </row>
    <row r="518">
      <c r="B518" s="9"/>
      <c r="C518" s="9"/>
    </row>
    <row r="519">
      <c r="B519" s="9"/>
      <c r="C519" s="9"/>
    </row>
    <row r="520">
      <c r="B520" s="9"/>
      <c r="C520" s="9"/>
    </row>
    <row r="521">
      <c r="B521" s="9"/>
      <c r="C521" s="9"/>
    </row>
    <row r="522">
      <c r="B522" s="9"/>
      <c r="C522" s="9"/>
    </row>
    <row r="523">
      <c r="B523" s="9"/>
      <c r="C523" s="9"/>
    </row>
    <row r="524">
      <c r="B524" s="9"/>
      <c r="C524" s="9"/>
    </row>
    <row r="525">
      <c r="B525" s="9"/>
      <c r="C525" s="9"/>
    </row>
    <row r="526">
      <c r="B526" s="9"/>
      <c r="C526" s="9"/>
    </row>
    <row r="527">
      <c r="B527" s="9"/>
      <c r="C527" s="9"/>
    </row>
    <row r="528">
      <c r="B528" s="9"/>
      <c r="C528" s="9"/>
    </row>
    <row r="529">
      <c r="B529" s="9"/>
      <c r="C529" s="9"/>
    </row>
    <row r="530">
      <c r="B530" s="9"/>
      <c r="C530" s="9"/>
    </row>
    <row r="531">
      <c r="B531" s="9"/>
      <c r="C531" s="9"/>
    </row>
    <row r="532">
      <c r="B532" s="9"/>
      <c r="C532" s="9"/>
    </row>
    <row r="533">
      <c r="B533" s="9"/>
      <c r="C533" s="9"/>
    </row>
    <row r="534">
      <c r="B534" s="9"/>
      <c r="C534" s="9"/>
    </row>
    <row r="535">
      <c r="B535" s="9"/>
      <c r="C535" s="9"/>
    </row>
    <row r="536">
      <c r="B536" s="9"/>
      <c r="C536" s="9"/>
    </row>
    <row r="537">
      <c r="B537" s="9"/>
      <c r="C537" s="9"/>
    </row>
    <row r="538">
      <c r="B538" s="9"/>
      <c r="C538" s="9"/>
    </row>
    <row r="539">
      <c r="B539" s="9"/>
      <c r="C539" s="9"/>
    </row>
    <row r="540">
      <c r="B540" s="9"/>
      <c r="C540" s="9"/>
    </row>
    <row r="541">
      <c r="B541" s="9"/>
      <c r="C541" s="9"/>
    </row>
    <row r="542">
      <c r="B542" s="9"/>
      <c r="C542" s="9"/>
    </row>
    <row r="543">
      <c r="B543" s="9"/>
      <c r="C543" s="9"/>
    </row>
    <row r="544">
      <c r="B544" s="9"/>
      <c r="C544" s="9"/>
    </row>
    <row r="545">
      <c r="B545" s="9"/>
      <c r="C545" s="9"/>
    </row>
    <row r="546">
      <c r="B546" s="9"/>
      <c r="C546" s="9"/>
    </row>
    <row r="547">
      <c r="B547" s="9"/>
      <c r="C547" s="9"/>
    </row>
    <row r="548">
      <c r="B548" s="9"/>
      <c r="C548" s="9"/>
    </row>
    <row r="549">
      <c r="B549" s="9"/>
      <c r="C549" s="9"/>
    </row>
    <row r="550">
      <c r="B550" s="9"/>
      <c r="C550" s="9"/>
    </row>
    <row r="551">
      <c r="B551" s="9"/>
      <c r="C551" s="9"/>
    </row>
    <row r="552">
      <c r="B552" s="9"/>
      <c r="C552" s="9"/>
    </row>
    <row r="553">
      <c r="B553" s="9"/>
      <c r="C553" s="9"/>
    </row>
    <row r="554">
      <c r="B554" s="9"/>
      <c r="C554" s="9"/>
    </row>
    <row r="555">
      <c r="B555" s="9"/>
      <c r="C555" s="9"/>
    </row>
    <row r="556">
      <c r="B556" s="9"/>
      <c r="C556" s="9"/>
    </row>
    <row r="557">
      <c r="B557" s="9"/>
      <c r="C557" s="9"/>
    </row>
    <row r="558">
      <c r="B558" s="9"/>
      <c r="C558" s="9"/>
    </row>
    <row r="559">
      <c r="B559" s="9"/>
      <c r="C559" s="9"/>
    </row>
    <row r="560">
      <c r="B560" s="9"/>
      <c r="C560" s="9"/>
    </row>
    <row r="561">
      <c r="B561" s="9"/>
      <c r="C561" s="9"/>
    </row>
    <row r="562">
      <c r="B562" s="9"/>
      <c r="C562" s="9"/>
    </row>
    <row r="563">
      <c r="B563" s="9"/>
      <c r="C563" s="9"/>
    </row>
    <row r="564">
      <c r="B564" s="9"/>
      <c r="C564" s="9"/>
    </row>
    <row r="565">
      <c r="B565" s="9"/>
      <c r="C565" s="9"/>
    </row>
    <row r="566">
      <c r="B566" s="9"/>
      <c r="C566" s="9"/>
    </row>
    <row r="567">
      <c r="B567" s="9"/>
      <c r="C567" s="9"/>
    </row>
    <row r="568">
      <c r="B568" s="9"/>
      <c r="C568" s="9"/>
    </row>
    <row r="569">
      <c r="B569" s="9"/>
      <c r="C569" s="9"/>
    </row>
    <row r="570">
      <c r="B570" s="9"/>
      <c r="C570" s="9"/>
    </row>
    <row r="571">
      <c r="B571" s="9"/>
      <c r="C571" s="9"/>
    </row>
    <row r="572">
      <c r="B572" s="9"/>
      <c r="C572" s="9"/>
    </row>
    <row r="573">
      <c r="B573" s="9"/>
      <c r="C573" s="9"/>
    </row>
    <row r="574">
      <c r="B574" s="9"/>
      <c r="C574" s="9"/>
    </row>
    <row r="575">
      <c r="B575" s="9"/>
      <c r="C575" s="9"/>
    </row>
    <row r="576">
      <c r="B576" s="9"/>
      <c r="C576" s="9"/>
    </row>
    <row r="577">
      <c r="B577" s="9"/>
      <c r="C577" s="9"/>
    </row>
    <row r="578">
      <c r="B578" s="9"/>
      <c r="C578" s="9"/>
    </row>
    <row r="579">
      <c r="B579" s="9"/>
      <c r="C579" s="9"/>
    </row>
    <row r="580">
      <c r="B580" s="9"/>
      <c r="C580" s="9"/>
    </row>
    <row r="581">
      <c r="B581" s="9"/>
      <c r="C581" s="9"/>
    </row>
    <row r="582">
      <c r="B582" s="9"/>
      <c r="C582" s="9"/>
    </row>
    <row r="583">
      <c r="B583" s="9"/>
      <c r="C583" s="9"/>
    </row>
    <row r="584">
      <c r="B584" s="9"/>
      <c r="C584" s="9"/>
    </row>
    <row r="585">
      <c r="B585" s="9"/>
      <c r="C585" s="9"/>
    </row>
    <row r="586">
      <c r="B586" s="9"/>
      <c r="C586" s="9"/>
    </row>
    <row r="587">
      <c r="B587" s="9"/>
      <c r="C587" s="9"/>
    </row>
    <row r="588">
      <c r="B588" s="9"/>
      <c r="C588" s="9"/>
    </row>
    <row r="589">
      <c r="B589" s="9"/>
      <c r="C589" s="9"/>
    </row>
    <row r="590">
      <c r="B590" s="9"/>
      <c r="C590" s="9"/>
    </row>
    <row r="591">
      <c r="B591" s="9"/>
      <c r="C591" s="9"/>
    </row>
    <row r="592">
      <c r="B592" s="9"/>
      <c r="C592" s="9"/>
    </row>
    <row r="593">
      <c r="B593" s="9"/>
      <c r="C593" s="9"/>
    </row>
    <row r="594">
      <c r="B594" s="9"/>
      <c r="C594" s="9"/>
    </row>
    <row r="595">
      <c r="B595" s="9"/>
      <c r="C595" s="9"/>
    </row>
    <row r="596">
      <c r="B596" s="9"/>
      <c r="C596" s="9"/>
    </row>
    <row r="597">
      <c r="B597" s="9"/>
      <c r="C597" s="9"/>
    </row>
    <row r="598">
      <c r="B598" s="9"/>
      <c r="C598" s="9"/>
    </row>
    <row r="599">
      <c r="B599" s="9"/>
      <c r="C599" s="9"/>
    </row>
    <row r="600">
      <c r="B600" s="9"/>
      <c r="C600" s="9"/>
    </row>
    <row r="601">
      <c r="B601" s="9"/>
      <c r="C601" s="9"/>
    </row>
    <row r="602">
      <c r="B602" s="9"/>
      <c r="C602" s="9"/>
    </row>
    <row r="603">
      <c r="B603" s="9"/>
      <c r="C603" s="9"/>
    </row>
    <row r="604">
      <c r="B604" s="9"/>
      <c r="C604" s="9"/>
    </row>
    <row r="605">
      <c r="B605" s="9"/>
      <c r="C605" s="9"/>
    </row>
    <row r="606">
      <c r="B606" s="9"/>
      <c r="C606" s="9"/>
    </row>
    <row r="607">
      <c r="B607" s="9"/>
      <c r="C607" s="9"/>
    </row>
    <row r="608">
      <c r="B608" s="9"/>
      <c r="C608" s="9"/>
    </row>
    <row r="609">
      <c r="B609" s="9"/>
      <c r="C609" s="9"/>
    </row>
    <row r="610">
      <c r="B610" s="9"/>
      <c r="C610" s="9"/>
    </row>
    <row r="611">
      <c r="B611" s="9"/>
      <c r="C611" s="9"/>
    </row>
    <row r="612">
      <c r="B612" s="9"/>
      <c r="C612" s="9"/>
    </row>
    <row r="613">
      <c r="B613" s="9"/>
      <c r="C613" s="9"/>
    </row>
    <row r="614">
      <c r="B614" s="9"/>
      <c r="C614" s="9"/>
    </row>
    <row r="615">
      <c r="B615" s="9"/>
      <c r="C615" s="9"/>
    </row>
    <row r="616">
      <c r="B616" s="9"/>
      <c r="C616" s="9"/>
    </row>
    <row r="617">
      <c r="B617" s="9"/>
      <c r="C617" s="9"/>
    </row>
    <row r="618">
      <c r="B618" s="9"/>
      <c r="C618" s="9"/>
    </row>
    <row r="619">
      <c r="B619" s="9"/>
      <c r="C619" s="9"/>
    </row>
    <row r="620">
      <c r="B620" s="9"/>
      <c r="C620" s="9"/>
    </row>
    <row r="621">
      <c r="B621" s="9"/>
      <c r="C621" s="9"/>
    </row>
    <row r="622">
      <c r="B622" s="9"/>
      <c r="C622" s="9"/>
    </row>
    <row r="623">
      <c r="B623" s="9"/>
      <c r="C623" s="9"/>
    </row>
    <row r="624">
      <c r="B624" s="9"/>
      <c r="C624" s="9"/>
    </row>
    <row r="625">
      <c r="B625" s="9"/>
      <c r="C625" s="9"/>
    </row>
    <row r="626">
      <c r="B626" s="9"/>
      <c r="C626" s="9"/>
    </row>
    <row r="627">
      <c r="B627" s="9"/>
      <c r="C627" s="9"/>
    </row>
    <row r="628">
      <c r="B628" s="9"/>
      <c r="C628" s="9"/>
    </row>
    <row r="629">
      <c r="B629" s="9"/>
      <c r="C629" s="9"/>
    </row>
    <row r="630">
      <c r="B630" s="9"/>
      <c r="C630" s="9"/>
    </row>
    <row r="631">
      <c r="B631" s="9"/>
      <c r="C631" s="9"/>
    </row>
    <row r="632">
      <c r="B632" s="9"/>
      <c r="C632" s="9"/>
    </row>
    <row r="633">
      <c r="B633" s="9"/>
      <c r="C633" s="9"/>
    </row>
    <row r="634">
      <c r="B634" s="9"/>
      <c r="C634" s="9"/>
    </row>
    <row r="635">
      <c r="B635" s="9"/>
      <c r="C635" s="9"/>
    </row>
    <row r="636">
      <c r="B636" s="9"/>
      <c r="C636" s="9"/>
    </row>
    <row r="637">
      <c r="B637" s="9"/>
      <c r="C637" s="9"/>
    </row>
    <row r="638">
      <c r="B638" s="9"/>
      <c r="C638" s="9"/>
    </row>
    <row r="639">
      <c r="B639" s="9"/>
      <c r="C639" s="9"/>
    </row>
    <row r="640">
      <c r="B640" s="9"/>
      <c r="C640" s="9"/>
    </row>
    <row r="641">
      <c r="B641" s="9"/>
      <c r="C641" s="9"/>
    </row>
    <row r="642">
      <c r="B642" s="9"/>
      <c r="C642" s="9"/>
    </row>
    <row r="643">
      <c r="B643" s="9"/>
      <c r="C643" s="9"/>
    </row>
    <row r="644">
      <c r="B644" s="9"/>
      <c r="C644" s="9"/>
    </row>
    <row r="645">
      <c r="B645" s="9"/>
      <c r="C645" s="9"/>
    </row>
    <row r="646">
      <c r="B646" s="9"/>
      <c r="C646" s="9"/>
    </row>
    <row r="647">
      <c r="B647" s="9"/>
      <c r="C647" s="9"/>
    </row>
    <row r="648">
      <c r="B648" s="9"/>
      <c r="C648" s="9"/>
    </row>
    <row r="649">
      <c r="B649" s="9"/>
      <c r="C649" s="9"/>
    </row>
    <row r="650">
      <c r="B650" s="9"/>
      <c r="C650" s="9"/>
    </row>
    <row r="651">
      <c r="B651" s="9"/>
      <c r="C651" s="9"/>
    </row>
    <row r="652">
      <c r="B652" s="9"/>
      <c r="C652" s="9"/>
    </row>
    <row r="653">
      <c r="B653" s="9"/>
      <c r="C653" s="9"/>
    </row>
    <row r="654">
      <c r="B654" s="9"/>
      <c r="C654" s="9"/>
    </row>
    <row r="655">
      <c r="B655" s="9"/>
      <c r="C655" s="9"/>
    </row>
    <row r="656">
      <c r="B656" s="9"/>
      <c r="C656" s="9"/>
    </row>
    <row r="657">
      <c r="B657" s="9"/>
      <c r="C657" s="9"/>
    </row>
    <row r="658">
      <c r="B658" s="9"/>
      <c r="C658" s="9"/>
    </row>
    <row r="659">
      <c r="B659" s="9"/>
      <c r="C659" s="9"/>
    </row>
    <row r="660">
      <c r="B660" s="9"/>
      <c r="C660" s="9"/>
    </row>
    <row r="661">
      <c r="B661" s="9"/>
      <c r="C661" s="9"/>
    </row>
    <row r="662">
      <c r="B662" s="9"/>
      <c r="C662" s="9"/>
    </row>
    <row r="663">
      <c r="B663" s="9"/>
      <c r="C663" s="9"/>
    </row>
    <row r="664">
      <c r="B664" s="9"/>
      <c r="C664" s="9"/>
    </row>
    <row r="665">
      <c r="B665" s="9"/>
      <c r="C665" s="9"/>
    </row>
    <row r="666">
      <c r="B666" s="9"/>
      <c r="C666" s="9"/>
    </row>
    <row r="667">
      <c r="B667" s="9"/>
      <c r="C667" s="9"/>
    </row>
    <row r="668">
      <c r="B668" s="9"/>
      <c r="C668" s="9"/>
    </row>
    <row r="669">
      <c r="B669" s="9"/>
      <c r="C669" s="9"/>
    </row>
    <row r="670">
      <c r="B670" s="9"/>
      <c r="C670" s="9"/>
    </row>
    <row r="671">
      <c r="B671" s="9"/>
      <c r="C671" s="9"/>
    </row>
    <row r="672">
      <c r="B672" s="9"/>
      <c r="C672" s="9"/>
    </row>
    <row r="673">
      <c r="B673" s="9"/>
      <c r="C673" s="9"/>
    </row>
    <row r="674">
      <c r="B674" s="9"/>
      <c r="C674" s="9"/>
    </row>
    <row r="675">
      <c r="B675" s="9"/>
      <c r="C675" s="9"/>
    </row>
    <row r="676">
      <c r="B676" s="9"/>
      <c r="C676" s="9"/>
    </row>
    <row r="677">
      <c r="B677" s="9"/>
      <c r="C677" s="9"/>
    </row>
    <row r="678">
      <c r="B678" s="9"/>
      <c r="C678" s="9"/>
    </row>
    <row r="679">
      <c r="B679" s="9"/>
      <c r="C679" s="9"/>
    </row>
    <row r="680">
      <c r="B680" s="9"/>
      <c r="C680" s="9"/>
    </row>
    <row r="681">
      <c r="B681" s="9"/>
      <c r="C681" s="9"/>
    </row>
    <row r="682">
      <c r="B682" s="9"/>
      <c r="C682" s="9"/>
    </row>
    <row r="683">
      <c r="B683" s="9"/>
      <c r="C683" s="9"/>
    </row>
    <row r="684">
      <c r="B684" s="9"/>
      <c r="C684" s="9"/>
    </row>
    <row r="685">
      <c r="B685" s="9"/>
      <c r="C685" s="9"/>
    </row>
    <row r="686">
      <c r="B686" s="9"/>
      <c r="C686" s="9"/>
    </row>
    <row r="687">
      <c r="B687" s="9"/>
      <c r="C687" s="9"/>
    </row>
    <row r="688">
      <c r="B688" s="9"/>
      <c r="C688" s="9"/>
    </row>
    <row r="689">
      <c r="B689" s="9"/>
      <c r="C689" s="9"/>
    </row>
    <row r="690">
      <c r="B690" s="9"/>
      <c r="C690" s="9"/>
    </row>
    <row r="691">
      <c r="B691" s="9"/>
      <c r="C691" s="9"/>
    </row>
    <row r="692">
      <c r="B692" s="9"/>
      <c r="C692" s="9"/>
    </row>
    <row r="693">
      <c r="B693" s="9"/>
      <c r="C693" s="9"/>
    </row>
    <row r="694">
      <c r="B694" s="9"/>
      <c r="C694" s="9"/>
    </row>
    <row r="695">
      <c r="B695" s="9"/>
      <c r="C695" s="9"/>
    </row>
    <row r="696">
      <c r="B696" s="9"/>
      <c r="C696" s="9"/>
    </row>
    <row r="697">
      <c r="B697" s="9"/>
      <c r="C697" s="9"/>
    </row>
    <row r="698">
      <c r="B698" s="9"/>
      <c r="C698" s="9"/>
    </row>
    <row r="699">
      <c r="B699" s="9"/>
      <c r="C699" s="9"/>
    </row>
    <row r="700">
      <c r="B700" s="9"/>
      <c r="C700" s="9"/>
    </row>
    <row r="701">
      <c r="B701" s="9"/>
      <c r="C701" s="9"/>
    </row>
    <row r="702">
      <c r="B702" s="9"/>
      <c r="C702" s="9"/>
    </row>
    <row r="703">
      <c r="B703" s="9"/>
      <c r="C703" s="9"/>
    </row>
    <row r="704">
      <c r="B704" s="9"/>
      <c r="C704" s="9"/>
    </row>
    <row r="705">
      <c r="B705" s="9"/>
      <c r="C705" s="9"/>
    </row>
    <row r="706">
      <c r="B706" s="9"/>
      <c r="C706" s="9"/>
    </row>
    <row r="707">
      <c r="B707" s="9"/>
      <c r="C707" s="9"/>
    </row>
    <row r="708">
      <c r="B708" s="9"/>
      <c r="C708" s="9"/>
    </row>
    <row r="709">
      <c r="B709" s="9"/>
      <c r="C709" s="9"/>
    </row>
    <row r="710">
      <c r="B710" s="9"/>
      <c r="C710" s="9"/>
    </row>
    <row r="711">
      <c r="B711" s="9"/>
      <c r="C711" s="9"/>
    </row>
    <row r="712">
      <c r="B712" s="9"/>
      <c r="C712" s="9"/>
    </row>
    <row r="713">
      <c r="B713" s="9"/>
      <c r="C713" s="9"/>
    </row>
    <row r="714">
      <c r="B714" s="9"/>
      <c r="C714" s="9"/>
    </row>
    <row r="715">
      <c r="B715" s="9"/>
      <c r="C715" s="9"/>
    </row>
    <row r="716">
      <c r="B716" s="9"/>
      <c r="C716" s="9"/>
    </row>
    <row r="717">
      <c r="B717" s="9"/>
      <c r="C717" s="9"/>
    </row>
    <row r="718">
      <c r="B718" s="9"/>
      <c r="C718" s="9"/>
    </row>
    <row r="719">
      <c r="B719" s="9"/>
      <c r="C719" s="9"/>
    </row>
    <row r="720">
      <c r="B720" s="9"/>
      <c r="C720" s="9"/>
    </row>
    <row r="721">
      <c r="B721" s="9"/>
      <c r="C721" s="9"/>
    </row>
    <row r="722">
      <c r="B722" s="9"/>
      <c r="C722" s="9"/>
    </row>
    <row r="723">
      <c r="B723" s="9"/>
      <c r="C723" s="9"/>
    </row>
    <row r="724">
      <c r="B724" s="9"/>
      <c r="C724" s="9"/>
    </row>
    <row r="725">
      <c r="B725" s="9"/>
      <c r="C725" s="9"/>
    </row>
    <row r="726">
      <c r="B726" s="9"/>
      <c r="C726" s="9"/>
    </row>
    <row r="727">
      <c r="B727" s="9"/>
      <c r="C727" s="9"/>
    </row>
    <row r="728">
      <c r="B728" s="9"/>
      <c r="C728" s="9"/>
    </row>
    <row r="729">
      <c r="B729" s="9"/>
      <c r="C729" s="9"/>
    </row>
    <row r="730">
      <c r="B730" s="9"/>
      <c r="C730" s="9"/>
    </row>
    <row r="731">
      <c r="B731" s="9"/>
      <c r="C731" s="9"/>
    </row>
    <row r="732">
      <c r="B732" s="9"/>
      <c r="C732" s="9"/>
    </row>
    <row r="733">
      <c r="B733" s="9"/>
      <c r="C733" s="9"/>
    </row>
    <row r="734">
      <c r="B734" s="9"/>
      <c r="C734" s="9"/>
    </row>
    <row r="735">
      <c r="B735" s="9"/>
      <c r="C735" s="9"/>
    </row>
    <row r="736">
      <c r="B736" s="9"/>
      <c r="C736" s="9"/>
    </row>
    <row r="737">
      <c r="B737" s="9"/>
      <c r="C737" s="9"/>
    </row>
    <row r="738">
      <c r="B738" s="9"/>
      <c r="C738" s="9"/>
    </row>
    <row r="739">
      <c r="B739" s="9"/>
      <c r="C739" s="9"/>
    </row>
    <row r="740">
      <c r="B740" s="9"/>
      <c r="C740" s="9"/>
    </row>
    <row r="741">
      <c r="B741" s="9"/>
      <c r="C741" s="9"/>
    </row>
    <row r="742">
      <c r="B742" s="9"/>
      <c r="C742" s="9"/>
    </row>
    <row r="743">
      <c r="B743" s="9"/>
      <c r="C743" s="9"/>
    </row>
    <row r="744">
      <c r="B744" s="9"/>
      <c r="C744" s="9"/>
    </row>
    <row r="745">
      <c r="B745" s="9"/>
      <c r="C745" s="9"/>
    </row>
    <row r="746">
      <c r="B746" s="9"/>
      <c r="C746" s="9"/>
    </row>
    <row r="747">
      <c r="B747" s="9"/>
      <c r="C747" s="9"/>
    </row>
    <row r="748">
      <c r="B748" s="9"/>
      <c r="C748" s="9"/>
    </row>
    <row r="749">
      <c r="B749" s="9"/>
      <c r="C749" s="9"/>
    </row>
    <row r="750">
      <c r="B750" s="9"/>
      <c r="C750" s="9"/>
    </row>
    <row r="751">
      <c r="B751" s="9"/>
      <c r="C751" s="9"/>
    </row>
    <row r="752">
      <c r="B752" s="9"/>
      <c r="C752" s="9"/>
    </row>
    <row r="753">
      <c r="B753" s="9"/>
      <c r="C753" s="9"/>
    </row>
    <row r="754">
      <c r="B754" s="9"/>
      <c r="C754" s="9"/>
    </row>
    <row r="755">
      <c r="B755" s="9"/>
      <c r="C755" s="9"/>
    </row>
    <row r="756">
      <c r="B756" s="9"/>
      <c r="C756" s="9"/>
    </row>
    <row r="757">
      <c r="B757" s="9"/>
      <c r="C757" s="9"/>
    </row>
    <row r="758">
      <c r="B758" s="9"/>
      <c r="C758" s="9"/>
    </row>
    <row r="759">
      <c r="B759" s="9"/>
      <c r="C759" s="9"/>
    </row>
    <row r="760">
      <c r="B760" s="9"/>
      <c r="C760" s="9"/>
    </row>
    <row r="761">
      <c r="B761" s="9"/>
      <c r="C761" s="9"/>
    </row>
    <row r="762">
      <c r="B762" s="9"/>
      <c r="C762" s="9"/>
    </row>
    <row r="763">
      <c r="B763" s="9"/>
      <c r="C763" s="9"/>
    </row>
    <row r="764">
      <c r="B764" s="9"/>
      <c r="C764" s="9"/>
    </row>
    <row r="765">
      <c r="B765" s="9"/>
      <c r="C765" s="9"/>
    </row>
    <row r="766">
      <c r="B766" s="9"/>
      <c r="C766" s="9"/>
    </row>
    <row r="767">
      <c r="B767" s="9"/>
      <c r="C767" s="9"/>
    </row>
    <row r="768">
      <c r="B768" s="9"/>
      <c r="C768" s="9"/>
    </row>
    <row r="769">
      <c r="B769" s="9"/>
      <c r="C769" s="9"/>
    </row>
    <row r="770">
      <c r="B770" s="9"/>
      <c r="C770" s="9"/>
    </row>
    <row r="771">
      <c r="B771" s="9"/>
      <c r="C771" s="9"/>
    </row>
    <row r="772">
      <c r="B772" s="9"/>
      <c r="C772" s="9"/>
    </row>
    <row r="773">
      <c r="B773" s="9"/>
      <c r="C773" s="9"/>
    </row>
    <row r="774">
      <c r="B774" s="9"/>
      <c r="C774" s="9"/>
    </row>
    <row r="775">
      <c r="B775" s="9"/>
      <c r="C775" s="9"/>
    </row>
    <row r="776">
      <c r="B776" s="9"/>
      <c r="C776" s="9"/>
    </row>
    <row r="777">
      <c r="B777" s="9"/>
      <c r="C777" s="9"/>
    </row>
    <row r="778">
      <c r="B778" s="9"/>
      <c r="C778" s="9"/>
    </row>
    <row r="779">
      <c r="B779" s="9"/>
      <c r="C779" s="9"/>
    </row>
    <row r="780">
      <c r="B780" s="9"/>
      <c r="C780" s="9"/>
    </row>
    <row r="781">
      <c r="B781" s="9"/>
      <c r="C781" s="9"/>
    </row>
    <row r="782">
      <c r="B782" s="9"/>
      <c r="C782" s="9"/>
    </row>
    <row r="783">
      <c r="B783" s="9"/>
      <c r="C783" s="9"/>
    </row>
    <row r="784">
      <c r="B784" s="9"/>
      <c r="C784" s="9"/>
    </row>
    <row r="785">
      <c r="B785" s="9"/>
      <c r="C785" s="9"/>
    </row>
    <row r="786">
      <c r="B786" s="9"/>
      <c r="C786" s="9"/>
    </row>
    <row r="787">
      <c r="B787" s="9"/>
      <c r="C787" s="9"/>
    </row>
    <row r="788">
      <c r="B788" s="9"/>
      <c r="C788" s="9"/>
    </row>
    <row r="789">
      <c r="B789" s="9"/>
      <c r="C789" s="9"/>
    </row>
    <row r="790">
      <c r="B790" s="9"/>
      <c r="C790" s="9"/>
    </row>
    <row r="791">
      <c r="B791" s="9"/>
      <c r="C791" s="9"/>
    </row>
    <row r="792">
      <c r="B792" s="9"/>
      <c r="C792" s="9"/>
    </row>
    <row r="793">
      <c r="B793" s="9"/>
      <c r="C793" s="9"/>
    </row>
    <row r="794">
      <c r="B794" s="9"/>
      <c r="C794" s="9"/>
    </row>
    <row r="795">
      <c r="B795" s="9"/>
      <c r="C795" s="9"/>
    </row>
    <row r="796">
      <c r="B796" s="9"/>
      <c r="C796" s="9"/>
    </row>
    <row r="797">
      <c r="B797" s="9"/>
      <c r="C797" s="9"/>
    </row>
    <row r="798">
      <c r="B798" s="9"/>
      <c r="C798" s="9"/>
    </row>
    <row r="799">
      <c r="B799" s="9"/>
      <c r="C799" s="9"/>
    </row>
    <row r="800">
      <c r="B800" s="9"/>
      <c r="C800" s="9"/>
    </row>
    <row r="801">
      <c r="B801" s="9"/>
      <c r="C801" s="9"/>
    </row>
    <row r="802">
      <c r="B802" s="9"/>
      <c r="C802" s="9"/>
    </row>
    <row r="803">
      <c r="B803" s="9"/>
      <c r="C803" s="9"/>
    </row>
    <row r="804">
      <c r="B804" s="9"/>
      <c r="C804" s="9"/>
    </row>
    <row r="805">
      <c r="B805" s="9"/>
      <c r="C805" s="9"/>
    </row>
    <row r="806">
      <c r="B806" s="9"/>
      <c r="C806" s="9"/>
    </row>
    <row r="807">
      <c r="B807" s="9"/>
      <c r="C807" s="9"/>
    </row>
    <row r="808">
      <c r="B808" s="9"/>
      <c r="C808" s="9"/>
    </row>
    <row r="809">
      <c r="B809" s="9"/>
      <c r="C809" s="9"/>
    </row>
    <row r="810">
      <c r="B810" s="9"/>
      <c r="C810" s="9"/>
    </row>
    <row r="811">
      <c r="B811" s="9"/>
      <c r="C811" s="9"/>
    </row>
    <row r="812">
      <c r="B812" s="9"/>
      <c r="C812" s="9"/>
    </row>
    <row r="813">
      <c r="B813" s="9"/>
      <c r="C813" s="9"/>
    </row>
    <row r="814">
      <c r="B814" s="9"/>
      <c r="C814" s="9"/>
    </row>
    <row r="815">
      <c r="B815" s="9"/>
      <c r="C815" s="9"/>
    </row>
    <row r="816">
      <c r="B816" s="9"/>
      <c r="C816" s="9"/>
    </row>
    <row r="817">
      <c r="B817" s="9"/>
      <c r="C817" s="9"/>
    </row>
    <row r="818">
      <c r="B818" s="9"/>
      <c r="C818" s="9"/>
    </row>
    <row r="819">
      <c r="B819" s="9"/>
      <c r="C819" s="9"/>
    </row>
    <row r="820">
      <c r="B820" s="9"/>
      <c r="C820" s="9"/>
    </row>
    <row r="821">
      <c r="B821" s="9"/>
      <c r="C821" s="9"/>
    </row>
    <row r="822">
      <c r="B822" s="9"/>
      <c r="C822" s="9"/>
    </row>
    <row r="823">
      <c r="B823" s="9"/>
      <c r="C823" s="9"/>
    </row>
    <row r="824">
      <c r="B824" s="9"/>
      <c r="C824" s="9"/>
    </row>
    <row r="825">
      <c r="B825" s="9"/>
      <c r="C825" s="9"/>
    </row>
    <row r="826">
      <c r="B826" s="9"/>
      <c r="C826" s="9"/>
    </row>
    <row r="827">
      <c r="B827" s="9"/>
      <c r="C827" s="9"/>
    </row>
    <row r="828">
      <c r="B828" s="9"/>
      <c r="C828" s="9"/>
    </row>
    <row r="829">
      <c r="B829" s="9"/>
      <c r="C829" s="9"/>
    </row>
    <row r="830">
      <c r="B830" s="9"/>
      <c r="C830" s="9"/>
    </row>
    <row r="831">
      <c r="B831" s="9"/>
      <c r="C831" s="9"/>
    </row>
    <row r="832">
      <c r="B832" s="9"/>
      <c r="C832" s="9"/>
    </row>
    <row r="833">
      <c r="B833" s="9"/>
      <c r="C833" s="9"/>
    </row>
    <row r="834">
      <c r="B834" s="9"/>
      <c r="C834" s="9"/>
    </row>
    <row r="835">
      <c r="B835" s="9"/>
      <c r="C835" s="9"/>
    </row>
    <row r="836">
      <c r="B836" s="9"/>
      <c r="C836" s="9"/>
    </row>
    <row r="837">
      <c r="B837" s="9"/>
      <c r="C837" s="9"/>
    </row>
    <row r="838">
      <c r="B838" s="9"/>
      <c r="C838" s="9"/>
    </row>
    <row r="839">
      <c r="B839" s="9"/>
      <c r="C839" s="9"/>
    </row>
    <row r="840">
      <c r="B840" s="9"/>
      <c r="C840" s="9"/>
    </row>
    <row r="841">
      <c r="B841" s="9"/>
      <c r="C841" s="9"/>
    </row>
    <row r="842">
      <c r="B842" s="9"/>
      <c r="C842" s="9"/>
    </row>
    <row r="843">
      <c r="B843" s="9"/>
      <c r="C843" s="9"/>
    </row>
    <row r="844">
      <c r="B844" s="9"/>
      <c r="C844" s="9"/>
    </row>
    <row r="845">
      <c r="B845" s="9"/>
      <c r="C845" s="9"/>
    </row>
    <row r="846">
      <c r="B846" s="9"/>
      <c r="C846" s="9"/>
    </row>
    <row r="847">
      <c r="B847" s="9"/>
      <c r="C847" s="9"/>
    </row>
    <row r="848">
      <c r="B848" s="9"/>
      <c r="C848" s="9"/>
    </row>
    <row r="849">
      <c r="B849" s="9"/>
      <c r="C849" s="9"/>
    </row>
    <row r="850">
      <c r="B850" s="9"/>
      <c r="C850" s="9"/>
    </row>
    <row r="851">
      <c r="B851" s="9"/>
      <c r="C851" s="9"/>
    </row>
    <row r="852">
      <c r="B852" s="9"/>
      <c r="C852" s="9"/>
    </row>
    <row r="853">
      <c r="B853" s="9"/>
      <c r="C853" s="9"/>
    </row>
    <row r="854">
      <c r="B854" s="9"/>
      <c r="C854" s="9"/>
    </row>
    <row r="855">
      <c r="B855" s="9"/>
      <c r="C855" s="9"/>
    </row>
    <row r="856">
      <c r="B856" s="9"/>
      <c r="C856" s="9"/>
    </row>
    <row r="857">
      <c r="B857" s="9"/>
      <c r="C857" s="9"/>
    </row>
    <row r="858">
      <c r="B858" s="9"/>
      <c r="C858" s="9"/>
    </row>
    <row r="859">
      <c r="B859" s="9"/>
      <c r="C859" s="9"/>
    </row>
    <row r="860">
      <c r="B860" s="9"/>
      <c r="C860" s="9"/>
    </row>
    <row r="861">
      <c r="B861" s="9"/>
      <c r="C861" s="9"/>
    </row>
    <row r="862">
      <c r="B862" s="9"/>
      <c r="C862" s="9"/>
    </row>
    <row r="863">
      <c r="B863" s="9"/>
      <c r="C863" s="9"/>
    </row>
    <row r="864">
      <c r="B864" s="9"/>
      <c r="C864" s="9"/>
    </row>
    <row r="865">
      <c r="B865" s="9"/>
      <c r="C865" s="9"/>
    </row>
    <row r="866">
      <c r="B866" s="9"/>
      <c r="C866" s="9"/>
    </row>
    <row r="867">
      <c r="B867" s="9"/>
      <c r="C867" s="9"/>
    </row>
    <row r="868">
      <c r="B868" s="9"/>
      <c r="C868" s="9"/>
    </row>
    <row r="869">
      <c r="B869" s="9"/>
      <c r="C869" s="9"/>
    </row>
    <row r="870">
      <c r="B870" s="9"/>
      <c r="C870" s="9"/>
    </row>
    <row r="871">
      <c r="B871" s="9"/>
      <c r="C871" s="9"/>
    </row>
    <row r="872">
      <c r="B872" s="9"/>
      <c r="C872" s="9"/>
    </row>
    <row r="873">
      <c r="B873" s="9"/>
      <c r="C873" s="9"/>
    </row>
    <row r="874">
      <c r="B874" s="9"/>
      <c r="C874" s="9"/>
    </row>
    <row r="875">
      <c r="B875" s="9"/>
      <c r="C875" s="9"/>
    </row>
    <row r="876">
      <c r="B876" s="9"/>
      <c r="C876" s="9"/>
    </row>
    <row r="877">
      <c r="B877" s="9"/>
      <c r="C877" s="9"/>
    </row>
    <row r="878">
      <c r="B878" s="9"/>
      <c r="C878" s="9"/>
    </row>
    <row r="879">
      <c r="B879" s="9"/>
      <c r="C879" s="9"/>
    </row>
    <row r="880">
      <c r="B880" s="9"/>
      <c r="C880" s="9"/>
    </row>
    <row r="881">
      <c r="B881" s="9"/>
      <c r="C881" s="9"/>
    </row>
    <row r="882">
      <c r="B882" s="9"/>
      <c r="C882" s="9"/>
    </row>
    <row r="883">
      <c r="B883" s="9"/>
      <c r="C883" s="9"/>
    </row>
    <row r="884">
      <c r="B884" s="9"/>
      <c r="C884" s="9"/>
    </row>
    <row r="885">
      <c r="B885" s="9"/>
      <c r="C885" s="9"/>
    </row>
    <row r="886">
      <c r="B886" s="9"/>
      <c r="C886" s="9"/>
    </row>
    <row r="887">
      <c r="B887" s="9"/>
      <c r="C887" s="9"/>
    </row>
    <row r="888">
      <c r="B888" s="9"/>
      <c r="C888" s="9"/>
    </row>
    <row r="889">
      <c r="B889" s="9"/>
      <c r="C889" s="9"/>
    </row>
    <row r="890">
      <c r="B890" s="9"/>
      <c r="C890" s="9"/>
    </row>
    <row r="891">
      <c r="B891" s="9"/>
      <c r="C891" s="9"/>
    </row>
    <row r="892">
      <c r="B892" s="9"/>
      <c r="C892" s="9"/>
    </row>
    <row r="893">
      <c r="B893" s="9"/>
      <c r="C893" s="9"/>
    </row>
    <row r="894">
      <c r="B894" s="9"/>
      <c r="C894" s="9"/>
    </row>
    <row r="895">
      <c r="B895" s="9"/>
      <c r="C895" s="9"/>
    </row>
    <row r="896">
      <c r="B896" s="9"/>
      <c r="C896" s="9"/>
    </row>
    <row r="897">
      <c r="B897" s="9"/>
      <c r="C897" s="9"/>
    </row>
    <row r="898">
      <c r="B898" s="9"/>
      <c r="C898" s="9"/>
    </row>
    <row r="899">
      <c r="B899" s="9"/>
      <c r="C899" s="9"/>
    </row>
    <row r="900">
      <c r="B900" s="9"/>
      <c r="C900" s="9"/>
    </row>
    <row r="901">
      <c r="B901" s="9"/>
      <c r="C901" s="9"/>
    </row>
    <row r="902">
      <c r="B902" s="9"/>
      <c r="C902" s="9"/>
    </row>
    <row r="903">
      <c r="B903" s="9"/>
      <c r="C903" s="9"/>
    </row>
    <row r="904">
      <c r="B904" s="9"/>
      <c r="C904" s="9"/>
    </row>
    <row r="905">
      <c r="B905" s="9"/>
      <c r="C905" s="9"/>
    </row>
    <row r="906">
      <c r="B906" s="9"/>
      <c r="C906" s="9"/>
    </row>
    <row r="907">
      <c r="B907" s="9"/>
      <c r="C907" s="9"/>
    </row>
    <row r="908">
      <c r="B908" s="9"/>
      <c r="C908" s="9"/>
    </row>
    <row r="909">
      <c r="B909" s="9"/>
      <c r="C909" s="9"/>
    </row>
    <row r="910">
      <c r="B910" s="9"/>
      <c r="C910" s="9"/>
    </row>
    <row r="911">
      <c r="B911" s="9"/>
      <c r="C911" s="9"/>
    </row>
    <row r="912">
      <c r="B912" s="9"/>
      <c r="C912" s="9"/>
    </row>
    <row r="913">
      <c r="B913" s="9"/>
      <c r="C913" s="9"/>
    </row>
    <row r="914">
      <c r="B914" s="9"/>
      <c r="C914" s="9"/>
    </row>
    <row r="915">
      <c r="B915" s="9"/>
      <c r="C915" s="9"/>
    </row>
    <row r="916">
      <c r="B916" s="9"/>
      <c r="C916" s="9"/>
    </row>
    <row r="917">
      <c r="B917" s="9"/>
      <c r="C917" s="9"/>
    </row>
    <row r="918">
      <c r="B918" s="9"/>
      <c r="C918" s="9"/>
    </row>
    <row r="919">
      <c r="B919" s="9"/>
      <c r="C919" s="9"/>
    </row>
    <row r="920">
      <c r="B920" s="9"/>
      <c r="C920" s="9"/>
    </row>
    <row r="921">
      <c r="B921" s="9"/>
      <c r="C921" s="9"/>
    </row>
    <row r="922">
      <c r="B922" s="9"/>
      <c r="C922" s="9"/>
    </row>
    <row r="923">
      <c r="B923" s="9"/>
      <c r="C923" s="9"/>
    </row>
    <row r="924">
      <c r="B924" s="9"/>
      <c r="C924" s="9"/>
    </row>
    <row r="925">
      <c r="B925" s="9"/>
      <c r="C925" s="9"/>
    </row>
    <row r="926">
      <c r="B926" s="9"/>
      <c r="C926" s="9"/>
    </row>
    <row r="927">
      <c r="B927" s="9"/>
      <c r="C927" s="9"/>
    </row>
    <row r="928">
      <c r="B928" s="9"/>
      <c r="C928" s="9"/>
    </row>
    <row r="929">
      <c r="B929" s="9"/>
      <c r="C929" s="9"/>
    </row>
    <row r="930">
      <c r="B930" s="9"/>
      <c r="C930" s="9"/>
    </row>
    <row r="931">
      <c r="B931" s="9"/>
      <c r="C931" s="9"/>
    </row>
    <row r="932">
      <c r="B932" s="9"/>
      <c r="C932" s="9"/>
    </row>
    <row r="933">
      <c r="B933" s="9"/>
      <c r="C933" s="9"/>
    </row>
    <row r="934">
      <c r="B934" s="9"/>
      <c r="C934" s="9"/>
    </row>
    <row r="935">
      <c r="B935" s="9"/>
      <c r="C935" s="9"/>
    </row>
    <row r="936">
      <c r="B936" s="9"/>
      <c r="C936" s="9"/>
    </row>
    <row r="937">
      <c r="B937" s="9"/>
      <c r="C937" s="9"/>
    </row>
    <row r="938">
      <c r="B938" s="9"/>
      <c r="C938" s="9"/>
    </row>
    <row r="939">
      <c r="B939" s="9"/>
      <c r="C939" s="9"/>
    </row>
    <row r="940">
      <c r="B940" s="9"/>
      <c r="C940" s="9"/>
    </row>
    <row r="941">
      <c r="B941" s="9"/>
      <c r="C941" s="9"/>
    </row>
    <row r="942">
      <c r="B942" s="9"/>
      <c r="C942" s="9"/>
    </row>
    <row r="943">
      <c r="B943" s="9"/>
      <c r="C943" s="9"/>
    </row>
    <row r="944">
      <c r="B944" s="9"/>
      <c r="C944" s="9"/>
    </row>
    <row r="945">
      <c r="B945" s="9"/>
      <c r="C945" s="9"/>
    </row>
    <row r="946">
      <c r="B946" s="9"/>
      <c r="C946" s="9"/>
    </row>
    <row r="947">
      <c r="B947" s="9"/>
      <c r="C947" s="9"/>
    </row>
    <row r="948">
      <c r="B948" s="9"/>
      <c r="C948" s="9"/>
    </row>
    <row r="949">
      <c r="B949" s="9"/>
      <c r="C949" s="9"/>
    </row>
    <row r="950">
      <c r="B950" s="9"/>
      <c r="C950" s="9"/>
    </row>
    <row r="951">
      <c r="B951" s="9"/>
      <c r="C951" s="9"/>
    </row>
    <row r="952">
      <c r="B952" s="9"/>
      <c r="C952" s="9"/>
    </row>
    <row r="953">
      <c r="B953" s="9"/>
      <c r="C953" s="9"/>
    </row>
    <row r="954">
      <c r="B954" s="9"/>
      <c r="C954" s="9"/>
    </row>
    <row r="955">
      <c r="B955" s="9"/>
      <c r="C955" s="9"/>
    </row>
    <row r="956">
      <c r="B956" s="9"/>
      <c r="C956" s="9"/>
    </row>
    <row r="957">
      <c r="B957" s="9"/>
      <c r="C957" s="9"/>
    </row>
    <row r="958">
      <c r="B958" s="9"/>
      <c r="C958" s="9"/>
    </row>
    <row r="959">
      <c r="B959" s="9"/>
      <c r="C959" s="9"/>
    </row>
    <row r="960">
      <c r="B960" s="9"/>
      <c r="C960" s="9"/>
    </row>
    <row r="961">
      <c r="B961" s="9"/>
      <c r="C961" s="9"/>
    </row>
    <row r="962">
      <c r="B962" s="9"/>
      <c r="C962" s="9"/>
    </row>
    <row r="963">
      <c r="B963" s="9"/>
      <c r="C963" s="9"/>
    </row>
    <row r="964">
      <c r="B964" s="9"/>
      <c r="C964" s="9"/>
    </row>
    <row r="965">
      <c r="B965" s="9"/>
      <c r="C965" s="9"/>
    </row>
    <row r="966">
      <c r="B966" s="9"/>
      <c r="C966" s="9"/>
    </row>
    <row r="967">
      <c r="B967" s="9"/>
      <c r="C967" s="9"/>
    </row>
    <row r="968">
      <c r="B968" s="9"/>
      <c r="C968" s="9"/>
    </row>
    <row r="969">
      <c r="B969" s="9"/>
      <c r="C969" s="9"/>
    </row>
    <row r="970">
      <c r="B970" s="9"/>
      <c r="C970" s="9"/>
    </row>
    <row r="971">
      <c r="B971" s="9"/>
      <c r="C971" s="9"/>
    </row>
    <row r="972">
      <c r="B972" s="9"/>
      <c r="C972" s="9"/>
    </row>
    <row r="973">
      <c r="B973" s="9"/>
      <c r="C973" s="9"/>
    </row>
    <row r="974">
      <c r="B974" s="9"/>
      <c r="C974" s="9"/>
    </row>
    <row r="975">
      <c r="B975" s="9"/>
      <c r="C975" s="9"/>
    </row>
    <row r="976">
      <c r="B976" s="9"/>
      <c r="C976" s="9"/>
    </row>
    <row r="977">
      <c r="B977" s="9"/>
      <c r="C977" s="9"/>
    </row>
    <row r="978">
      <c r="B978" s="9"/>
      <c r="C978" s="9"/>
    </row>
    <row r="979">
      <c r="B979" s="9"/>
      <c r="C979" s="9"/>
    </row>
    <row r="980">
      <c r="B980" s="9"/>
      <c r="C980" s="9"/>
    </row>
    <row r="981">
      <c r="B981" s="9"/>
      <c r="C981" s="9"/>
    </row>
    <row r="982">
      <c r="B982" s="9"/>
      <c r="C982" s="9"/>
    </row>
    <row r="983">
      <c r="B983" s="9"/>
      <c r="C983" s="9"/>
    </row>
    <row r="984">
      <c r="B984" s="9"/>
      <c r="C984" s="9"/>
    </row>
    <row r="985">
      <c r="B985" s="9"/>
      <c r="C985" s="9"/>
    </row>
    <row r="986">
      <c r="B986" s="9"/>
      <c r="C986" s="9"/>
    </row>
    <row r="987">
      <c r="B987" s="9"/>
      <c r="C987" s="9"/>
    </row>
    <row r="988">
      <c r="B988" s="9"/>
      <c r="C988" s="9"/>
    </row>
    <row r="989">
      <c r="B989" s="9"/>
      <c r="C989" s="9"/>
    </row>
    <row r="990">
      <c r="B990" s="9"/>
      <c r="C990" s="9"/>
    </row>
    <row r="991">
      <c r="B991" s="9"/>
      <c r="C991" s="9"/>
    </row>
    <row r="992">
      <c r="B992" s="9"/>
      <c r="C992" s="9"/>
    </row>
    <row r="993">
      <c r="B993" s="9"/>
      <c r="C993" s="9"/>
    </row>
    <row r="994">
      <c r="B994" s="9"/>
      <c r="C994" s="9"/>
    </row>
    <row r="995">
      <c r="B995" s="9"/>
      <c r="C995" s="9"/>
    </row>
    <row r="996">
      <c r="B996" s="9"/>
      <c r="C996" s="9"/>
    </row>
    <row r="997">
      <c r="B997" s="9"/>
      <c r="C997" s="9"/>
    </row>
    <row r="998">
      <c r="B998" s="9"/>
      <c r="C998" s="9"/>
    </row>
    <row r="999">
      <c r="B999" s="9"/>
      <c r="C999" s="9"/>
    </row>
    <row r="1000">
      <c r="B1000" s="9"/>
      <c r="C1000" s="9"/>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29</v>
      </c>
      <c r="B1" s="33" t="s">
        <v>3</v>
      </c>
      <c r="C1" s="43" t="s">
        <v>36</v>
      </c>
    </row>
    <row r="2">
      <c r="A2" s="39">
        <v>45977.0</v>
      </c>
      <c r="B2" s="40">
        <v>94177.0</v>
      </c>
      <c r="C2" s="44">
        <f>(B2-B11)/B11*100</f>
        <v>-8.895058623</v>
      </c>
    </row>
    <row r="3">
      <c r="A3" s="39">
        <v>45976.0</v>
      </c>
      <c r="B3" s="40">
        <v>95549.0</v>
      </c>
      <c r="C3" s="44"/>
    </row>
    <row r="4">
      <c r="A4" s="39">
        <v>45975.0</v>
      </c>
      <c r="B4" s="40">
        <v>94398.0</v>
      </c>
      <c r="C4" s="44"/>
    </row>
    <row r="5">
      <c r="A5" s="39">
        <v>45974.0</v>
      </c>
      <c r="B5" s="40">
        <v>99697.0</v>
      </c>
      <c r="C5" s="44"/>
    </row>
    <row r="6">
      <c r="A6" s="39">
        <v>45973.0</v>
      </c>
      <c r="B6" s="40">
        <v>101663.0</v>
      </c>
      <c r="C6" s="44"/>
    </row>
    <row r="7">
      <c r="A7" s="39">
        <v>45972.0</v>
      </c>
      <c r="B7" s="40">
        <v>102997.0</v>
      </c>
      <c r="C7" s="44"/>
    </row>
    <row r="8">
      <c r="A8" s="39">
        <v>45971.0</v>
      </c>
      <c r="B8" s="40">
        <v>105997.0</v>
      </c>
      <c r="C8" s="44"/>
    </row>
    <row r="9">
      <c r="A9" s="39">
        <v>45970.0</v>
      </c>
      <c r="B9" s="40">
        <v>104720.0</v>
      </c>
      <c r="C9" s="44"/>
    </row>
    <row r="10">
      <c r="A10" s="39">
        <v>45969.0</v>
      </c>
      <c r="B10" s="40">
        <v>102282.0</v>
      </c>
      <c r="C10" s="44"/>
    </row>
    <row r="11">
      <c r="A11" s="39">
        <v>45968.0</v>
      </c>
      <c r="B11" s="40">
        <v>103372.0</v>
      </c>
      <c r="C11" s="44"/>
    </row>
    <row r="12">
      <c r="C12" s="45"/>
    </row>
    <row r="13">
      <c r="C13" s="45"/>
      <c r="D13" s="15" t="s">
        <v>37</v>
      </c>
    </row>
    <row r="14">
      <c r="C14" s="45"/>
      <c r="D14" s="15" t="s">
        <v>38</v>
      </c>
    </row>
    <row r="15">
      <c r="C15" s="45"/>
      <c r="D15" s="15" t="s">
        <v>39</v>
      </c>
    </row>
    <row r="16">
      <c r="C16" s="45"/>
      <c r="D16" s="15" t="s">
        <v>40</v>
      </c>
    </row>
    <row r="19">
      <c r="C19" s="45"/>
    </row>
    <row r="20">
      <c r="C20" s="45"/>
    </row>
    <row r="21">
      <c r="C21" s="45"/>
    </row>
    <row r="22">
      <c r="C22" s="45"/>
    </row>
    <row r="23">
      <c r="C23" s="45"/>
    </row>
    <row r="24">
      <c r="C24" s="45"/>
    </row>
    <row r="25">
      <c r="C25" s="45"/>
    </row>
    <row r="26">
      <c r="C26" s="45"/>
    </row>
    <row r="27">
      <c r="C27" s="45"/>
    </row>
    <row r="28">
      <c r="C28" s="45"/>
    </row>
    <row r="29">
      <c r="C29" s="45"/>
    </row>
    <row r="30">
      <c r="C30" s="45"/>
    </row>
    <row r="31">
      <c r="C31" s="45"/>
    </row>
    <row r="32">
      <c r="C32" s="45"/>
    </row>
    <row r="33">
      <c r="C33" s="45"/>
    </row>
    <row r="34">
      <c r="C34" s="45"/>
    </row>
    <row r="35">
      <c r="C35" s="45"/>
    </row>
    <row r="36">
      <c r="C36" s="45"/>
    </row>
    <row r="37">
      <c r="C37" s="45"/>
    </row>
    <row r="38">
      <c r="C38" s="45"/>
    </row>
    <row r="39">
      <c r="C39" s="45"/>
    </row>
    <row r="40">
      <c r="C40" s="45"/>
    </row>
    <row r="41">
      <c r="C41" s="45"/>
    </row>
    <row r="42">
      <c r="C42" s="45"/>
    </row>
    <row r="43">
      <c r="C43" s="45"/>
    </row>
    <row r="44">
      <c r="C44" s="45"/>
    </row>
    <row r="45">
      <c r="C45" s="45"/>
    </row>
    <row r="46">
      <c r="C46" s="45"/>
    </row>
    <row r="47">
      <c r="C47" s="45"/>
    </row>
    <row r="48">
      <c r="C48" s="45"/>
    </row>
    <row r="49">
      <c r="C49" s="45"/>
    </row>
    <row r="50">
      <c r="C50" s="45"/>
    </row>
    <row r="51">
      <c r="C51" s="45"/>
    </row>
    <row r="52">
      <c r="C52" s="45"/>
    </row>
    <row r="53">
      <c r="C53" s="45"/>
    </row>
    <row r="54">
      <c r="C54" s="45"/>
    </row>
    <row r="55">
      <c r="C55" s="45"/>
    </row>
    <row r="56">
      <c r="C56" s="45"/>
    </row>
    <row r="57">
      <c r="C57" s="45"/>
    </row>
    <row r="58">
      <c r="C58" s="45"/>
    </row>
    <row r="59">
      <c r="C59" s="45"/>
    </row>
    <row r="60">
      <c r="C60" s="45"/>
    </row>
    <row r="61">
      <c r="C61" s="45"/>
    </row>
    <row r="62">
      <c r="C62" s="45"/>
    </row>
    <row r="63">
      <c r="C63" s="45"/>
    </row>
    <row r="64">
      <c r="C64" s="45"/>
    </row>
    <row r="65">
      <c r="C65" s="45"/>
    </row>
    <row r="66">
      <c r="C66" s="45"/>
    </row>
    <row r="67">
      <c r="C67" s="45"/>
    </row>
    <row r="68">
      <c r="C68" s="45"/>
    </row>
    <row r="69">
      <c r="C69" s="45"/>
    </row>
    <row r="70">
      <c r="C70" s="45"/>
    </row>
    <row r="71">
      <c r="C71" s="45"/>
    </row>
    <row r="72">
      <c r="C72" s="45"/>
    </row>
    <row r="73">
      <c r="C73" s="45"/>
    </row>
    <row r="74">
      <c r="C74" s="45"/>
    </row>
    <row r="75">
      <c r="C75" s="45"/>
    </row>
    <row r="76">
      <c r="C76" s="45"/>
    </row>
    <row r="77">
      <c r="C77" s="45"/>
    </row>
    <row r="78">
      <c r="C78" s="45"/>
    </row>
    <row r="79">
      <c r="C79" s="45"/>
    </row>
    <row r="80">
      <c r="C80" s="45"/>
    </row>
    <row r="81">
      <c r="C81" s="45"/>
    </row>
    <row r="82">
      <c r="C82" s="45"/>
    </row>
    <row r="83">
      <c r="C83" s="45"/>
    </row>
    <row r="84">
      <c r="C84" s="45"/>
    </row>
    <row r="85">
      <c r="C85" s="45"/>
    </row>
    <row r="86">
      <c r="C86" s="45"/>
    </row>
    <row r="87">
      <c r="C87" s="45"/>
    </row>
    <row r="88">
      <c r="C88" s="45"/>
    </row>
    <row r="89">
      <c r="C89" s="45"/>
    </row>
    <row r="90">
      <c r="C90" s="45"/>
    </row>
    <row r="91">
      <c r="C91" s="45"/>
    </row>
    <row r="92">
      <c r="C92" s="45"/>
    </row>
    <row r="93">
      <c r="C93" s="45"/>
    </row>
    <row r="94">
      <c r="C94" s="45"/>
    </row>
    <row r="95">
      <c r="C95" s="45"/>
    </row>
    <row r="96">
      <c r="C96" s="45"/>
    </row>
    <row r="97">
      <c r="C97" s="45"/>
    </row>
    <row r="98">
      <c r="C98" s="45"/>
    </row>
    <row r="99">
      <c r="C99" s="45"/>
    </row>
    <row r="100">
      <c r="C100" s="45"/>
    </row>
    <row r="101">
      <c r="C101" s="45"/>
    </row>
    <row r="102">
      <c r="C102" s="45"/>
    </row>
    <row r="103">
      <c r="C103" s="45"/>
    </row>
    <row r="104">
      <c r="C104" s="45"/>
    </row>
    <row r="105">
      <c r="C105" s="45"/>
    </row>
    <row r="106">
      <c r="C106" s="45"/>
    </row>
    <row r="107">
      <c r="C107" s="45"/>
    </row>
    <row r="108">
      <c r="C108" s="45"/>
    </row>
    <row r="109">
      <c r="C109" s="45"/>
    </row>
    <row r="110">
      <c r="C110" s="45"/>
    </row>
    <row r="111">
      <c r="C111" s="45"/>
    </row>
    <row r="112">
      <c r="C112" s="45"/>
    </row>
    <row r="113">
      <c r="C113" s="45"/>
    </row>
    <row r="114">
      <c r="C114" s="45"/>
    </row>
    <row r="115">
      <c r="C115" s="45"/>
    </row>
    <row r="116">
      <c r="C116" s="45"/>
    </row>
    <row r="117">
      <c r="C117" s="45"/>
    </row>
    <row r="118">
      <c r="C118" s="45"/>
    </row>
    <row r="119">
      <c r="C119" s="45"/>
    </row>
    <row r="120">
      <c r="C120" s="45"/>
    </row>
    <row r="121">
      <c r="C121" s="45"/>
    </row>
    <row r="122">
      <c r="C122" s="45"/>
    </row>
    <row r="123">
      <c r="C123" s="45"/>
    </row>
    <row r="124">
      <c r="C124" s="45"/>
    </row>
    <row r="125">
      <c r="C125" s="45"/>
    </row>
    <row r="126">
      <c r="C126" s="45"/>
    </row>
    <row r="127">
      <c r="C127" s="45"/>
    </row>
    <row r="128">
      <c r="C128" s="45"/>
    </row>
    <row r="129">
      <c r="C129" s="45"/>
    </row>
    <row r="130">
      <c r="C130" s="45"/>
    </row>
    <row r="131">
      <c r="C131" s="45"/>
    </row>
    <row r="132">
      <c r="C132" s="45"/>
    </row>
    <row r="133">
      <c r="C133" s="45"/>
    </row>
    <row r="134">
      <c r="C134" s="45"/>
    </row>
    <row r="135">
      <c r="C135" s="45"/>
    </row>
    <row r="136">
      <c r="C136" s="45"/>
    </row>
    <row r="137">
      <c r="C137" s="45"/>
    </row>
    <row r="138">
      <c r="C138" s="45"/>
    </row>
    <row r="139">
      <c r="C139" s="45"/>
    </row>
    <row r="140">
      <c r="C140" s="45"/>
    </row>
    <row r="141">
      <c r="C141" s="45"/>
    </row>
    <row r="142">
      <c r="C142" s="45"/>
    </row>
    <row r="143">
      <c r="C143" s="45"/>
    </row>
    <row r="144">
      <c r="C144" s="45"/>
    </row>
    <row r="145">
      <c r="C145" s="45"/>
    </row>
    <row r="146">
      <c r="C146" s="45"/>
    </row>
    <row r="147">
      <c r="C147" s="45"/>
    </row>
    <row r="148">
      <c r="C148" s="45"/>
    </row>
    <row r="149">
      <c r="C149" s="45"/>
    </row>
    <row r="150">
      <c r="C150" s="45"/>
    </row>
    <row r="151">
      <c r="C151" s="45"/>
    </row>
    <row r="152">
      <c r="C152" s="45"/>
    </row>
    <row r="153">
      <c r="C153" s="45"/>
    </row>
    <row r="154">
      <c r="C154" s="45"/>
    </row>
    <row r="155">
      <c r="C155" s="45"/>
    </row>
    <row r="156">
      <c r="C156" s="45"/>
    </row>
    <row r="157">
      <c r="C157" s="45"/>
    </row>
    <row r="158">
      <c r="C158" s="45"/>
    </row>
    <row r="159">
      <c r="C159" s="45"/>
    </row>
    <row r="160">
      <c r="C160" s="45"/>
    </row>
    <row r="161">
      <c r="C161" s="45"/>
    </row>
    <row r="162">
      <c r="C162" s="45"/>
    </row>
    <row r="163">
      <c r="C163" s="45"/>
    </row>
    <row r="164">
      <c r="C164" s="45"/>
    </row>
    <row r="165">
      <c r="C165" s="45"/>
    </row>
    <row r="166">
      <c r="C166" s="45"/>
    </row>
    <row r="167">
      <c r="C167" s="45"/>
    </row>
    <row r="168">
      <c r="C168" s="45"/>
    </row>
    <row r="169">
      <c r="C169" s="45"/>
    </row>
    <row r="170">
      <c r="C170" s="45"/>
    </row>
    <row r="171">
      <c r="C171" s="45"/>
    </row>
    <row r="172">
      <c r="C172" s="45"/>
    </row>
    <row r="173">
      <c r="C173" s="45"/>
    </row>
    <row r="174">
      <c r="C174" s="45"/>
    </row>
    <row r="175">
      <c r="C175" s="45"/>
    </row>
    <row r="176">
      <c r="C176" s="45"/>
    </row>
    <row r="177">
      <c r="C177" s="45"/>
    </row>
    <row r="178">
      <c r="C178" s="45"/>
    </row>
    <row r="179">
      <c r="C179" s="45"/>
    </row>
    <row r="180">
      <c r="C180" s="45"/>
    </row>
    <row r="181">
      <c r="C181" s="45"/>
    </row>
    <row r="182">
      <c r="C182" s="45"/>
    </row>
    <row r="183">
      <c r="C183" s="45"/>
    </row>
    <row r="184">
      <c r="C184" s="45"/>
    </row>
    <row r="185">
      <c r="C185" s="45"/>
    </row>
    <row r="186">
      <c r="C186" s="45"/>
    </row>
    <row r="187">
      <c r="C187" s="45"/>
    </row>
    <row r="188">
      <c r="C188" s="45"/>
    </row>
    <row r="189">
      <c r="C189" s="45"/>
    </row>
    <row r="190">
      <c r="C190" s="45"/>
    </row>
    <row r="191">
      <c r="C191" s="45"/>
    </row>
    <row r="192">
      <c r="C192" s="45"/>
    </row>
    <row r="193">
      <c r="C193" s="45"/>
    </row>
    <row r="194">
      <c r="C194" s="45"/>
    </row>
    <row r="195">
      <c r="C195" s="45"/>
    </row>
    <row r="196">
      <c r="C196" s="45"/>
    </row>
    <row r="197">
      <c r="C197" s="45"/>
    </row>
    <row r="198">
      <c r="C198" s="45"/>
    </row>
    <row r="199">
      <c r="C199" s="45"/>
    </row>
    <row r="200">
      <c r="C200" s="45"/>
    </row>
    <row r="201">
      <c r="C201" s="45"/>
    </row>
    <row r="202">
      <c r="C202" s="45"/>
    </row>
    <row r="203">
      <c r="C203" s="45"/>
    </row>
    <row r="204">
      <c r="C204" s="45"/>
    </row>
    <row r="205">
      <c r="C205" s="45"/>
    </row>
    <row r="206">
      <c r="C206" s="45"/>
    </row>
    <row r="207">
      <c r="C207" s="45"/>
    </row>
    <row r="208">
      <c r="C208" s="45"/>
    </row>
    <row r="209">
      <c r="C209" s="45"/>
    </row>
    <row r="210">
      <c r="C210" s="45"/>
    </row>
    <row r="211">
      <c r="C211" s="45"/>
    </row>
    <row r="212">
      <c r="C212" s="45"/>
    </row>
    <row r="213">
      <c r="C213" s="45"/>
    </row>
    <row r="214">
      <c r="C214" s="45"/>
    </row>
    <row r="215">
      <c r="C215" s="45"/>
    </row>
    <row r="216">
      <c r="C216" s="45"/>
    </row>
    <row r="217">
      <c r="C217" s="45"/>
    </row>
    <row r="218">
      <c r="C218" s="45"/>
    </row>
    <row r="219">
      <c r="C219" s="45"/>
    </row>
    <row r="220">
      <c r="C220" s="45"/>
    </row>
    <row r="221">
      <c r="C221" s="45"/>
    </row>
    <row r="222">
      <c r="C222" s="45"/>
    </row>
    <row r="223">
      <c r="C223" s="45"/>
    </row>
    <row r="224">
      <c r="C224" s="45"/>
    </row>
    <row r="225">
      <c r="C225" s="45"/>
    </row>
    <row r="226">
      <c r="C226" s="45"/>
    </row>
    <row r="227">
      <c r="C227" s="45"/>
    </row>
    <row r="228">
      <c r="C228" s="45"/>
    </row>
    <row r="229">
      <c r="C229" s="45"/>
    </row>
    <row r="230">
      <c r="C230" s="45"/>
    </row>
    <row r="231">
      <c r="C231" s="45"/>
    </row>
    <row r="232">
      <c r="C232" s="45"/>
    </row>
    <row r="233">
      <c r="C233" s="45"/>
    </row>
    <row r="234">
      <c r="C234" s="45"/>
    </row>
    <row r="235">
      <c r="C235" s="45"/>
    </row>
    <row r="236">
      <c r="C236" s="45"/>
    </row>
    <row r="237">
      <c r="C237" s="45"/>
    </row>
    <row r="238">
      <c r="C238" s="45"/>
    </row>
    <row r="239">
      <c r="C239" s="45"/>
    </row>
    <row r="240">
      <c r="C240" s="45"/>
    </row>
    <row r="241">
      <c r="C241" s="45"/>
    </row>
    <row r="242">
      <c r="C242" s="45"/>
    </row>
    <row r="243">
      <c r="C243" s="45"/>
    </row>
    <row r="244">
      <c r="C244" s="45"/>
    </row>
    <row r="245">
      <c r="C245" s="45"/>
    </row>
    <row r="246">
      <c r="C246" s="45"/>
    </row>
    <row r="247">
      <c r="C247" s="45"/>
    </row>
    <row r="248">
      <c r="C248" s="45"/>
    </row>
    <row r="249">
      <c r="C249" s="45"/>
    </row>
    <row r="250">
      <c r="C250" s="45"/>
    </row>
    <row r="251">
      <c r="C251" s="45"/>
    </row>
    <row r="252">
      <c r="C252" s="45"/>
    </row>
    <row r="253">
      <c r="C253" s="45"/>
    </row>
    <row r="254">
      <c r="C254" s="45"/>
    </row>
    <row r="255">
      <c r="C255" s="45"/>
    </row>
    <row r="256">
      <c r="C256" s="45"/>
    </row>
    <row r="257">
      <c r="C257" s="45"/>
    </row>
    <row r="258">
      <c r="C258" s="45"/>
    </row>
    <row r="259">
      <c r="C259" s="45"/>
    </row>
    <row r="260">
      <c r="C260" s="45"/>
    </row>
    <row r="261">
      <c r="C261" s="45"/>
    </row>
    <row r="262">
      <c r="C262" s="45"/>
    </row>
    <row r="263">
      <c r="C263" s="45"/>
    </row>
    <row r="264">
      <c r="C264" s="45"/>
    </row>
    <row r="265">
      <c r="C265" s="45"/>
    </row>
    <row r="266">
      <c r="C266" s="45"/>
    </row>
    <row r="267">
      <c r="C267" s="45"/>
    </row>
    <row r="268">
      <c r="C268" s="45"/>
    </row>
    <row r="269">
      <c r="C269" s="45"/>
    </row>
    <row r="270">
      <c r="C270" s="45"/>
    </row>
    <row r="271">
      <c r="C271" s="45"/>
    </row>
    <row r="272">
      <c r="C272" s="45"/>
    </row>
    <row r="273">
      <c r="C273" s="45"/>
    </row>
    <row r="274">
      <c r="C274" s="45"/>
    </row>
    <row r="275">
      <c r="C275" s="45"/>
    </row>
    <row r="276">
      <c r="C276" s="45"/>
    </row>
    <row r="277">
      <c r="C277" s="45"/>
    </row>
    <row r="278">
      <c r="C278" s="45"/>
    </row>
    <row r="279">
      <c r="C279" s="45"/>
    </row>
    <row r="280">
      <c r="C280" s="45"/>
    </row>
    <row r="281">
      <c r="C281" s="45"/>
    </row>
    <row r="282">
      <c r="C282" s="45"/>
    </row>
    <row r="283">
      <c r="C283" s="45"/>
    </row>
    <row r="284">
      <c r="C284" s="45"/>
    </row>
    <row r="285">
      <c r="C285" s="45"/>
    </row>
    <row r="286">
      <c r="C286" s="45"/>
    </row>
    <row r="287">
      <c r="C287" s="45"/>
    </row>
    <row r="288">
      <c r="C288" s="45"/>
    </row>
    <row r="289">
      <c r="C289" s="45"/>
    </row>
    <row r="290">
      <c r="C290" s="45"/>
    </row>
    <row r="291">
      <c r="C291" s="45"/>
    </row>
    <row r="292">
      <c r="C292" s="45"/>
    </row>
    <row r="293">
      <c r="C293" s="45"/>
    </row>
    <row r="294">
      <c r="C294" s="45"/>
    </row>
    <row r="295">
      <c r="C295" s="45"/>
    </row>
    <row r="296">
      <c r="C296" s="45"/>
    </row>
    <row r="297">
      <c r="C297" s="45"/>
    </row>
    <row r="298">
      <c r="C298" s="45"/>
    </row>
    <row r="299">
      <c r="C299" s="45"/>
    </row>
    <row r="300">
      <c r="C300" s="45"/>
    </row>
    <row r="301">
      <c r="C301" s="45"/>
    </row>
    <row r="302">
      <c r="C302" s="45"/>
    </row>
    <row r="303">
      <c r="C303" s="45"/>
    </row>
    <row r="304">
      <c r="C304" s="45"/>
    </row>
    <row r="305">
      <c r="C305" s="45"/>
    </row>
    <row r="306">
      <c r="C306" s="45"/>
    </row>
    <row r="307">
      <c r="C307" s="45"/>
    </row>
    <row r="308">
      <c r="C308" s="45"/>
    </row>
    <row r="309">
      <c r="C309" s="45"/>
    </row>
    <row r="310">
      <c r="C310" s="45"/>
    </row>
    <row r="311">
      <c r="C311" s="45"/>
    </row>
    <row r="312">
      <c r="C312" s="45"/>
    </row>
    <row r="313">
      <c r="C313" s="45"/>
    </row>
    <row r="314">
      <c r="C314" s="45"/>
    </row>
    <row r="315">
      <c r="C315" s="45"/>
    </row>
    <row r="316">
      <c r="C316" s="45"/>
    </row>
    <row r="317">
      <c r="C317" s="45"/>
    </row>
    <row r="318">
      <c r="C318" s="45"/>
    </row>
    <row r="319">
      <c r="C319" s="45"/>
    </row>
    <row r="320">
      <c r="C320" s="45"/>
    </row>
    <row r="321">
      <c r="C321" s="45"/>
    </row>
    <row r="322">
      <c r="C322" s="45"/>
    </row>
    <row r="323">
      <c r="C323" s="45"/>
    </row>
    <row r="324">
      <c r="C324" s="45"/>
    </row>
    <row r="325">
      <c r="C325" s="45"/>
    </row>
    <row r="326">
      <c r="C326" s="45"/>
    </row>
    <row r="327">
      <c r="C327" s="45"/>
    </row>
    <row r="328">
      <c r="C328" s="45"/>
    </row>
    <row r="329">
      <c r="C329" s="45"/>
    </row>
    <row r="330">
      <c r="C330" s="45"/>
    </row>
    <row r="331">
      <c r="C331" s="45"/>
    </row>
    <row r="332">
      <c r="C332" s="45"/>
    </row>
    <row r="333">
      <c r="C333" s="45"/>
    </row>
    <row r="334">
      <c r="C334" s="45"/>
    </row>
    <row r="335">
      <c r="C335" s="45"/>
    </row>
    <row r="336">
      <c r="C336" s="45"/>
    </row>
    <row r="337">
      <c r="C337" s="45"/>
    </row>
    <row r="338">
      <c r="C338" s="45"/>
    </row>
    <row r="339">
      <c r="C339" s="45"/>
    </row>
    <row r="340">
      <c r="C340" s="45"/>
    </row>
    <row r="341">
      <c r="C341" s="45"/>
    </row>
    <row r="342">
      <c r="C342" s="45"/>
    </row>
    <row r="343">
      <c r="C343" s="45"/>
    </row>
    <row r="344">
      <c r="C344" s="45"/>
    </row>
    <row r="345">
      <c r="C345" s="45"/>
    </row>
    <row r="346">
      <c r="C346" s="45"/>
    </row>
    <row r="347">
      <c r="C347" s="45"/>
    </row>
    <row r="348">
      <c r="C348" s="45"/>
    </row>
    <row r="349">
      <c r="C349" s="45"/>
    </row>
    <row r="350">
      <c r="C350" s="45"/>
    </row>
    <row r="351">
      <c r="C351" s="45"/>
    </row>
    <row r="352">
      <c r="C352" s="45"/>
    </row>
    <row r="353">
      <c r="C353" s="45"/>
    </row>
    <row r="354">
      <c r="C354" s="45"/>
    </row>
    <row r="355">
      <c r="C355" s="45"/>
    </row>
    <row r="356">
      <c r="C356" s="45"/>
    </row>
    <row r="357">
      <c r="C357" s="45"/>
    </row>
    <row r="358">
      <c r="C358" s="45"/>
    </row>
    <row r="359">
      <c r="C359" s="45"/>
    </row>
    <row r="360">
      <c r="C360" s="45"/>
    </row>
    <row r="361">
      <c r="C361" s="45"/>
    </row>
    <row r="362">
      <c r="C362" s="45"/>
    </row>
    <row r="363">
      <c r="C363" s="45"/>
    </row>
    <row r="364">
      <c r="C364" s="45"/>
    </row>
    <row r="365">
      <c r="C365" s="45"/>
    </row>
    <row r="366">
      <c r="C366" s="45"/>
    </row>
    <row r="367">
      <c r="C367" s="45"/>
    </row>
    <row r="368">
      <c r="C368" s="45"/>
    </row>
    <row r="369">
      <c r="C369" s="45"/>
    </row>
    <row r="370">
      <c r="C370" s="45"/>
    </row>
    <row r="371">
      <c r="C371" s="45"/>
    </row>
    <row r="372">
      <c r="C372" s="45"/>
    </row>
    <row r="373">
      <c r="C373" s="45"/>
    </row>
    <row r="374">
      <c r="C374" s="45"/>
    </row>
    <row r="375">
      <c r="C375" s="45"/>
    </row>
    <row r="376">
      <c r="C376" s="45"/>
    </row>
    <row r="377">
      <c r="C377" s="45"/>
    </row>
    <row r="378">
      <c r="C378" s="45"/>
    </row>
    <row r="379">
      <c r="C379" s="45"/>
    </row>
    <row r="380">
      <c r="C380" s="45"/>
    </row>
    <row r="381">
      <c r="C381" s="45"/>
    </row>
    <row r="382">
      <c r="C382" s="45"/>
    </row>
    <row r="383">
      <c r="C383" s="45"/>
    </row>
    <row r="384">
      <c r="C384" s="45"/>
    </row>
    <row r="385">
      <c r="C385" s="45"/>
    </row>
    <row r="386">
      <c r="C386" s="45"/>
    </row>
    <row r="387">
      <c r="C387" s="45"/>
    </row>
    <row r="388">
      <c r="C388" s="45"/>
    </row>
    <row r="389">
      <c r="C389" s="45"/>
    </row>
    <row r="390">
      <c r="C390" s="45"/>
    </row>
    <row r="391">
      <c r="C391" s="45"/>
    </row>
    <row r="392">
      <c r="C392" s="45"/>
    </row>
    <row r="393">
      <c r="C393" s="45"/>
    </row>
    <row r="394">
      <c r="C394" s="45"/>
    </row>
    <row r="395">
      <c r="C395" s="45"/>
    </row>
    <row r="396">
      <c r="C396" s="45"/>
    </row>
    <row r="397">
      <c r="C397" s="45"/>
    </row>
    <row r="398">
      <c r="C398" s="45"/>
    </row>
    <row r="399">
      <c r="C399" s="45"/>
    </row>
    <row r="400">
      <c r="C400" s="45"/>
    </row>
    <row r="401">
      <c r="C401" s="45"/>
    </row>
    <row r="402">
      <c r="C402" s="45"/>
    </row>
    <row r="403">
      <c r="C403" s="45"/>
    </row>
    <row r="404">
      <c r="C404" s="45"/>
    </row>
    <row r="405">
      <c r="C405" s="45"/>
    </row>
    <row r="406">
      <c r="C406" s="45"/>
    </row>
    <row r="407">
      <c r="C407" s="45"/>
    </row>
    <row r="408">
      <c r="C408" s="45"/>
    </row>
    <row r="409">
      <c r="C409" s="45"/>
    </row>
    <row r="410">
      <c r="C410" s="45"/>
    </row>
    <row r="411">
      <c r="C411" s="45"/>
    </row>
    <row r="412">
      <c r="C412" s="45"/>
    </row>
    <row r="413">
      <c r="C413" s="45"/>
    </row>
    <row r="414">
      <c r="C414" s="45"/>
    </row>
    <row r="415">
      <c r="C415" s="45"/>
    </row>
    <row r="416">
      <c r="C416" s="45"/>
    </row>
    <row r="417">
      <c r="C417" s="45"/>
    </row>
    <row r="418">
      <c r="C418" s="45"/>
    </row>
    <row r="419">
      <c r="C419" s="45"/>
    </row>
    <row r="420">
      <c r="C420" s="45"/>
    </row>
    <row r="421">
      <c r="C421" s="45"/>
    </row>
    <row r="422">
      <c r="C422" s="45"/>
    </row>
    <row r="423">
      <c r="C423" s="45"/>
    </row>
    <row r="424">
      <c r="C424" s="45"/>
    </row>
    <row r="425">
      <c r="C425" s="45"/>
    </row>
    <row r="426">
      <c r="C426" s="45"/>
    </row>
    <row r="427">
      <c r="C427" s="45"/>
    </row>
    <row r="428">
      <c r="C428" s="45"/>
    </row>
    <row r="429">
      <c r="C429" s="45"/>
    </row>
    <row r="430">
      <c r="C430" s="45"/>
    </row>
    <row r="431">
      <c r="C431" s="45"/>
    </row>
    <row r="432">
      <c r="C432" s="45"/>
    </row>
    <row r="433">
      <c r="C433" s="45"/>
    </row>
    <row r="434">
      <c r="C434" s="45"/>
    </row>
    <row r="435">
      <c r="C435" s="45"/>
    </row>
    <row r="436">
      <c r="C436" s="45"/>
    </row>
    <row r="437">
      <c r="C437" s="45"/>
    </row>
    <row r="438">
      <c r="C438" s="45"/>
    </row>
    <row r="439">
      <c r="C439" s="45"/>
    </row>
    <row r="440">
      <c r="C440" s="45"/>
    </row>
    <row r="441">
      <c r="C441" s="45"/>
    </row>
    <row r="442">
      <c r="C442" s="45"/>
    </row>
    <row r="443">
      <c r="C443" s="45"/>
    </row>
    <row r="444">
      <c r="C444" s="45"/>
    </row>
    <row r="445">
      <c r="C445" s="45"/>
    </row>
    <row r="446">
      <c r="C446" s="45"/>
    </row>
    <row r="447">
      <c r="C447" s="45"/>
    </row>
    <row r="448">
      <c r="C448" s="45"/>
    </row>
    <row r="449">
      <c r="C449" s="45"/>
    </row>
    <row r="450">
      <c r="C450" s="45"/>
    </row>
    <row r="451">
      <c r="C451" s="45"/>
    </row>
    <row r="452">
      <c r="C452" s="45"/>
    </row>
    <row r="453">
      <c r="C453" s="45"/>
    </row>
    <row r="454">
      <c r="C454" s="45"/>
    </row>
    <row r="455">
      <c r="C455" s="45"/>
    </row>
    <row r="456">
      <c r="C456" s="45"/>
    </row>
    <row r="457">
      <c r="C457" s="45"/>
    </row>
    <row r="458">
      <c r="C458" s="45"/>
    </row>
    <row r="459">
      <c r="C459" s="45"/>
    </row>
    <row r="460">
      <c r="C460" s="45"/>
    </row>
    <row r="461">
      <c r="C461" s="45"/>
    </row>
    <row r="462">
      <c r="C462" s="45"/>
    </row>
    <row r="463">
      <c r="C463" s="45"/>
    </row>
    <row r="464">
      <c r="C464" s="45"/>
    </row>
    <row r="465">
      <c r="C465" s="45"/>
    </row>
    <row r="466">
      <c r="C466" s="45"/>
    </row>
    <row r="467">
      <c r="C467" s="45"/>
    </row>
    <row r="468">
      <c r="C468" s="45"/>
    </row>
    <row r="469">
      <c r="C469" s="45"/>
    </row>
    <row r="470">
      <c r="C470" s="45"/>
    </row>
    <row r="471">
      <c r="C471" s="45"/>
    </row>
    <row r="472">
      <c r="C472" s="45"/>
    </row>
    <row r="473">
      <c r="C473" s="45"/>
    </row>
    <row r="474">
      <c r="C474" s="45"/>
    </row>
    <row r="475">
      <c r="C475" s="45"/>
    </row>
    <row r="476">
      <c r="C476" s="45"/>
    </row>
    <row r="477">
      <c r="C477" s="45"/>
    </row>
    <row r="478">
      <c r="C478" s="45"/>
    </row>
    <row r="479">
      <c r="C479" s="45"/>
    </row>
    <row r="480">
      <c r="C480" s="45"/>
    </row>
    <row r="481">
      <c r="C481" s="45"/>
    </row>
    <row r="482">
      <c r="C482" s="45"/>
    </row>
    <row r="483">
      <c r="C483" s="45"/>
    </row>
    <row r="484">
      <c r="C484" s="45"/>
    </row>
    <row r="485">
      <c r="C485" s="45"/>
    </row>
    <row r="486">
      <c r="C486" s="45"/>
    </row>
    <row r="487">
      <c r="C487" s="45"/>
    </row>
    <row r="488">
      <c r="C488" s="45"/>
    </row>
    <row r="489">
      <c r="C489" s="45"/>
    </row>
    <row r="490">
      <c r="C490" s="45"/>
    </row>
    <row r="491">
      <c r="C491" s="45"/>
    </row>
    <row r="492">
      <c r="C492" s="45"/>
    </row>
    <row r="493">
      <c r="C493" s="45"/>
    </row>
    <row r="494">
      <c r="C494" s="45"/>
    </row>
    <row r="495">
      <c r="C495" s="45"/>
    </row>
    <row r="496">
      <c r="C496" s="45"/>
    </row>
    <row r="497">
      <c r="C497" s="45"/>
    </row>
    <row r="498">
      <c r="C498" s="45"/>
    </row>
    <row r="499">
      <c r="C499" s="45"/>
    </row>
    <row r="500">
      <c r="C500" s="45"/>
    </row>
    <row r="501">
      <c r="C501" s="45"/>
    </row>
    <row r="502">
      <c r="C502" s="45"/>
    </row>
    <row r="503">
      <c r="C503" s="45"/>
    </row>
    <row r="504">
      <c r="C504" s="45"/>
    </row>
    <row r="505">
      <c r="C505" s="45"/>
    </row>
    <row r="506">
      <c r="C506" s="45"/>
    </row>
    <row r="507">
      <c r="C507" s="45"/>
    </row>
    <row r="508">
      <c r="C508" s="45"/>
    </row>
    <row r="509">
      <c r="C509" s="45"/>
    </row>
    <row r="510">
      <c r="C510" s="45"/>
    </row>
    <row r="511">
      <c r="C511" s="45"/>
    </row>
    <row r="512">
      <c r="C512" s="45"/>
    </row>
    <row r="513">
      <c r="C513" s="45"/>
    </row>
    <row r="514">
      <c r="C514" s="45"/>
    </row>
    <row r="515">
      <c r="C515" s="45"/>
    </row>
    <row r="516">
      <c r="C516" s="45"/>
    </row>
    <row r="517">
      <c r="C517" s="45"/>
    </row>
    <row r="518">
      <c r="C518" s="45"/>
    </row>
    <row r="519">
      <c r="C519" s="45"/>
    </row>
    <row r="520">
      <c r="C520" s="45"/>
    </row>
    <row r="521">
      <c r="C521" s="45"/>
    </row>
    <row r="522">
      <c r="C522" s="45"/>
    </row>
    <row r="523">
      <c r="C523" s="45"/>
    </row>
    <row r="524">
      <c r="C524" s="45"/>
    </row>
    <row r="525">
      <c r="C525" s="45"/>
    </row>
    <row r="526">
      <c r="C526" s="45"/>
    </row>
    <row r="527">
      <c r="C527" s="45"/>
    </row>
    <row r="528">
      <c r="C528" s="45"/>
    </row>
    <row r="529">
      <c r="C529" s="45"/>
    </row>
    <row r="530">
      <c r="C530" s="45"/>
    </row>
    <row r="531">
      <c r="C531" s="45"/>
    </row>
    <row r="532">
      <c r="C532" s="45"/>
    </row>
    <row r="533">
      <c r="C533" s="45"/>
    </row>
    <row r="534">
      <c r="C534" s="45"/>
    </row>
    <row r="535">
      <c r="C535" s="45"/>
    </row>
    <row r="536">
      <c r="C536" s="45"/>
    </row>
    <row r="537">
      <c r="C537" s="45"/>
    </row>
    <row r="538">
      <c r="C538" s="45"/>
    </row>
    <row r="539">
      <c r="C539" s="45"/>
    </row>
    <row r="540">
      <c r="C540" s="45"/>
    </row>
    <row r="541">
      <c r="C541" s="45"/>
    </row>
    <row r="542">
      <c r="C542" s="45"/>
    </row>
    <row r="543">
      <c r="C543" s="45"/>
    </row>
    <row r="544">
      <c r="C544" s="45"/>
    </row>
    <row r="545">
      <c r="C545" s="45"/>
    </row>
    <row r="546">
      <c r="C546" s="45"/>
    </row>
    <row r="547">
      <c r="C547" s="45"/>
    </row>
    <row r="548">
      <c r="C548" s="45"/>
    </row>
    <row r="549">
      <c r="C549" s="45"/>
    </row>
    <row r="550">
      <c r="C550" s="45"/>
    </row>
    <row r="551">
      <c r="C551" s="45"/>
    </row>
    <row r="552">
      <c r="C552" s="45"/>
    </row>
    <row r="553">
      <c r="C553" s="45"/>
    </row>
    <row r="554">
      <c r="C554" s="45"/>
    </row>
    <row r="555">
      <c r="C555" s="45"/>
    </row>
    <row r="556">
      <c r="C556" s="45"/>
    </row>
    <row r="557">
      <c r="C557" s="45"/>
    </row>
    <row r="558">
      <c r="C558" s="45"/>
    </row>
    <row r="559">
      <c r="C559" s="45"/>
    </row>
    <row r="560">
      <c r="C560" s="45"/>
    </row>
    <row r="561">
      <c r="C561" s="45"/>
    </row>
    <row r="562">
      <c r="C562" s="45"/>
    </row>
    <row r="563">
      <c r="C563" s="45"/>
    </row>
    <row r="564">
      <c r="C564" s="45"/>
    </row>
    <row r="565">
      <c r="C565" s="45"/>
    </row>
    <row r="566">
      <c r="C566" s="45"/>
    </row>
    <row r="567">
      <c r="C567" s="45"/>
    </row>
    <row r="568">
      <c r="C568" s="45"/>
    </row>
    <row r="569">
      <c r="C569" s="45"/>
    </row>
    <row r="570">
      <c r="C570" s="45"/>
    </row>
    <row r="571">
      <c r="C571" s="45"/>
    </row>
    <row r="572">
      <c r="C572" s="45"/>
    </row>
    <row r="573">
      <c r="C573" s="45"/>
    </row>
    <row r="574">
      <c r="C574" s="45"/>
    </row>
    <row r="575">
      <c r="C575" s="45"/>
    </row>
    <row r="576">
      <c r="C576" s="45"/>
    </row>
    <row r="577">
      <c r="C577" s="45"/>
    </row>
    <row r="578">
      <c r="C578" s="45"/>
    </row>
    <row r="579">
      <c r="C579" s="45"/>
    </row>
    <row r="580">
      <c r="C580" s="45"/>
    </row>
    <row r="581">
      <c r="C581" s="45"/>
    </row>
    <row r="582">
      <c r="C582" s="45"/>
    </row>
    <row r="583">
      <c r="C583" s="45"/>
    </row>
    <row r="584">
      <c r="C584" s="45"/>
    </row>
    <row r="585">
      <c r="C585" s="45"/>
    </row>
    <row r="586">
      <c r="C586" s="45"/>
    </row>
    <row r="587">
      <c r="C587" s="45"/>
    </row>
    <row r="588">
      <c r="C588" s="45"/>
    </row>
    <row r="589">
      <c r="C589" s="45"/>
    </row>
    <row r="590">
      <c r="C590" s="45"/>
    </row>
    <row r="591">
      <c r="C591" s="45"/>
    </row>
    <row r="592">
      <c r="C592" s="45"/>
    </row>
    <row r="593">
      <c r="C593" s="45"/>
    </row>
    <row r="594">
      <c r="C594" s="45"/>
    </row>
    <row r="595">
      <c r="C595" s="45"/>
    </row>
    <row r="596">
      <c r="C596" s="45"/>
    </row>
    <row r="597">
      <c r="C597" s="45"/>
    </row>
    <row r="598">
      <c r="C598" s="45"/>
    </row>
    <row r="599">
      <c r="C599" s="45"/>
    </row>
    <row r="600">
      <c r="C600" s="45"/>
    </row>
    <row r="601">
      <c r="C601" s="45"/>
    </row>
    <row r="602">
      <c r="C602" s="45"/>
    </row>
    <row r="603">
      <c r="C603" s="45"/>
    </row>
    <row r="604">
      <c r="C604" s="45"/>
    </row>
    <row r="605">
      <c r="C605" s="45"/>
    </row>
    <row r="606">
      <c r="C606" s="45"/>
    </row>
    <row r="607">
      <c r="C607" s="45"/>
    </row>
    <row r="608">
      <c r="C608" s="45"/>
    </row>
    <row r="609">
      <c r="C609" s="45"/>
    </row>
    <row r="610">
      <c r="C610" s="45"/>
    </row>
    <row r="611">
      <c r="C611" s="45"/>
    </row>
    <row r="612">
      <c r="C612" s="45"/>
    </row>
    <row r="613">
      <c r="C613" s="45"/>
    </row>
    <row r="614">
      <c r="C614" s="45"/>
    </row>
    <row r="615">
      <c r="C615" s="45"/>
    </row>
    <row r="616">
      <c r="C616" s="45"/>
    </row>
    <row r="617">
      <c r="C617" s="45"/>
    </row>
    <row r="618">
      <c r="C618" s="45"/>
    </row>
    <row r="619">
      <c r="C619" s="45"/>
    </row>
    <row r="620">
      <c r="C620" s="45"/>
    </row>
    <row r="621">
      <c r="C621" s="45"/>
    </row>
    <row r="622">
      <c r="C622" s="45"/>
    </row>
    <row r="623">
      <c r="C623" s="45"/>
    </row>
    <row r="624">
      <c r="C624" s="45"/>
    </row>
    <row r="625">
      <c r="C625" s="45"/>
    </row>
    <row r="626">
      <c r="C626" s="45"/>
    </row>
    <row r="627">
      <c r="C627" s="45"/>
    </row>
    <row r="628">
      <c r="C628" s="45"/>
    </row>
    <row r="629">
      <c r="C629" s="45"/>
    </row>
    <row r="630">
      <c r="C630" s="45"/>
    </row>
    <row r="631">
      <c r="C631" s="45"/>
    </row>
    <row r="632">
      <c r="C632" s="45"/>
    </row>
    <row r="633">
      <c r="C633" s="45"/>
    </row>
    <row r="634">
      <c r="C634" s="45"/>
    </row>
    <row r="635">
      <c r="C635" s="45"/>
    </row>
    <row r="636">
      <c r="C636" s="45"/>
    </row>
    <row r="637">
      <c r="C637" s="45"/>
    </row>
    <row r="638">
      <c r="C638" s="45"/>
    </row>
    <row r="639">
      <c r="C639" s="45"/>
    </row>
    <row r="640">
      <c r="C640" s="45"/>
    </row>
    <row r="641">
      <c r="C641" s="45"/>
    </row>
    <row r="642">
      <c r="C642" s="45"/>
    </row>
    <row r="643">
      <c r="C643" s="45"/>
    </row>
    <row r="644">
      <c r="C644" s="45"/>
    </row>
    <row r="645">
      <c r="C645" s="45"/>
    </row>
    <row r="646">
      <c r="C646" s="45"/>
    </row>
    <row r="647">
      <c r="C647" s="45"/>
    </row>
    <row r="648">
      <c r="C648" s="45"/>
    </row>
    <row r="649">
      <c r="C649" s="45"/>
    </row>
    <row r="650">
      <c r="C650" s="45"/>
    </row>
    <row r="651">
      <c r="C651" s="45"/>
    </row>
    <row r="652">
      <c r="C652" s="45"/>
    </row>
    <row r="653">
      <c r="C653" s="45"/>
    </row>
    <row r="654">
      <c r="C654" s="45"/>
    </row>
    <row r="655">
      <c r="C655" s="45"/>
    </row>
    <row r="656">
      <c r="C656" s="45"/>
    </row>
    <row r="657">
      <c r="C657" s="45"/>
    </row>
    <row r="658">
      <c r="C658" s="45"/>
    </row>
    <row r="659">
      <c r="C659" s="45"/>
    </row>
    <row r="660">
      <c r="C660" s="45"/>
    </row>
    <row r="661">
      <c r="C661" s="45"/>
    </row>
    <row r="662">
      <c r="C662" s="45"/>
    </row>
    <row r="663">
      <c r="C663" s="45"/>
    </row>
    <row r="664">
      <c r="C664" s="45"/>
    </row>
    <row r="665">
      <c r="C665" s="45"/>
    </row>
    <row r="666">
      <c r="C666" s="45"/>
    </row>
    <row r="667">
      <c r="C667" s="45"/>
    </row>
    <row r="668">
      <c r="C668" s="45"/>
    </row>
    <row r="669">
      <c r="C669" s="45"/>
    </row>
    <row r="670">
      <c r="C670" s="45"/>
    </row>
    <row r="671">
      <c r="C671" s="45"/>
    </row>
    <row r="672">
      <c r="C672" s="45"/>
    </row>
    <row r="673">
      <c r="C673" s="45"/>
    </row>
    <row r="674">
      <c r="C674" s="45"/>
    </row>
    <row r="675">
      <c r="C675" s="45"/>
    </row>
    <row r="676">
      <c r="C676" s="45"/>
    </row>
    <row r="677">
      <c r="C677" s="45"/>
    </row>
    <row r="678">
      <c r="C678" s="45"/>
    </row>
    <row r="679">
      <c r="C679" s="45"/>
    </row>
    <row r="680">
      <c r="C680" s="45"/>
    </row>
    <row r="681">
      <c r="C681" s="45"/>
    </row>
    <row r="682">
      <c r="C682" s="45"/>
    </row>
    <row r="683">
      <c r="C683" s="45"/>
    </row>
    <row r="684">
      <c r="C684" s="45"/>
    </row>
    <row r="685">
      <c r="C685" s="45"/>
    </row>
    <row r="686">
      <c r="C686" s="45"/>
    </row>
    <row r="687">
      <c r="C687" s="45"/>
    </row>
    <row r="688">
      <c r="C688" s="45"/>
    </row>
    <row r="689">
      <c r="C689" s="45"/>
    </row>
    <row r="690">
      <c r="C690" s="45"/>
    </row>
    <row r="691">
      <c r="C691" s="45"/>
    </row>
    <row r="692">
      <c r="C692" s="45"/>
    </row>
    <row r="693">
      <c r="C693" s="45"/>
    </row>
    <row r="694">
      <c r="C694" s="45"/>
    </row>
    <row r="695">
      <c r="C695" s="45"/>
    </row>
    <row r="696">
      <c r="C696" s="45"/>
    </row>
    <row r="697">
      <c r="C697" s="45"/>
    </row>
    <row r="698">
      <c r="C698" s="45"/>
    </row>
    <row r="699">
      <c r="C699" s="45"/>
    </row>
    <row r="700">
      <c r="C700" s="45"/>
    </row>
    <row r="701">
      <c r="C701" s="45"/>
    </row>
    <row r="702">
      <c r="C702" s="45"/>
    </row>
    <row r="703">
      <c r="C703" s="45"/>
    </row>
    <row r="704">
      <c r="C704" s="45"/>
    </row>
    <row r="705">
      <c r="C705" s="45"/>
    </row>
    <row r="706">
      <c r="C706" s="45"/>
    </row>
    <row r="707">
      <c r="C707" s="45"/>
    </row>
    <row r="708">
      <c r="C708" s="45"/>
    </row>
    <row r="709">
      <c r="C709" s="45"/>
    </row>
    <row r="710">
      <c r="C710" s="45"/>
    </row>
    <row r="711">
      <c r="C711" s="45"/>
    </row>
    <row r="712">
      <c r="C712" s="45"/>
    </row>
    <row r="713">
      <c r="C713" s="45"/>
    </row>
    <row r="714">
      <c r="C714" s="45"/>
    </row>
    <row r="715">
      <c r="C715" s="45"/>
    </row>
    <row r="716">
      <c r="C716" s="45"/>
    </row>
    <row r="717">
      <c r="C717" s="45"/>
    </row>
    <row r="718">
      <c r="C718" s="45"/>
    </row>
    <row r="719">
      <c r="C719" s="45"/>
    </row>
    <row r="720">
      <c r="C720" s="45"/>
    </row>
    <row r="721">
      <c r="C721" s="45"/>
    </row>
    <row r="722">
      <c r="C722" s="45"/>
    </row>
    <row r="723">
      <c r="C723" s="45"/>
    </row>
    <row r="724">
      <c r="C724" s="45"/>
    </row>
    <row r="725">
      <c r="C725" s="45"/>
    </row>
    <row r="726">
      <c r="C726" s="45"/>
    </row>
    <row r="727">
      <c r="C727" s="45"/>
    </row>
    <row r="728">
      <c r="C728" s="45"/>
    </row>
    <row r="729">
      <c r="C729" s="45"/>
    </row>
    <row r="730">
      <c r="C730" s="45"/>
    </row>
    <row r="731">
      <c r="C731" s="45"/>
    </row>
    <row r="732">
      <c r="C732" s="45"/>
    </row>
    <row r="733">
      <c r="C733" s="45"/>
    </row>
    <row r="734">
      <c r="C734" s="45"/>
    </row>
    <row r="735">
      <c r="C735" s="45"/>
    </row>
    <row r="736">
      <c r="C736" s="45"/>
    </row>
    <row r="737">
      <c r="C737" s="45"/>
    </row>
    <row r="738">
      <c r="C738" s="45"/>
    </row>
    <row r="739">
      <c r="C739" s="45"/>
    </row>
    <row r="740">
      <c r="C740" s="45"/>
    </row>
    <row r="741">
      <c r="C741" s="45"/>
    </row>
    <row r="742">
      <c r="C742" s="45"/>
    </row>
    <row r="743">
      <c r="C743" s="45"/>
    </row>
    <row r="744">
      <c r="C744" s="45"/>
    </row>
    <row r="745">
      <c r="C745" s="45"/>
    </row>
    <row r="746">
      <c r="C746" s="45"/>
    </row>
    <row r="747">
      <c r="C747" s="45"/>
    </row>
    <row r="748">
      <c r="C748" s="45"/>
    </row>
    <row r="749">
      <c r="C749" s="45"/>
    </row>
    <row r="750">
      <c r="C750" s="45"/>
    </row>
    <row r="751">
      <c r="C751" s="45"/>
    </row>
    <row r="752">
      <c r="C752" s="45"/>
    </row>
    <row r="753">
      <c r="C753" s="45"/>
    </row>
    <row r="754">
      <c r="C754" s="45"/>
    </row>
    <row r="755">
      <c r="C755" s="45"/>
    </row>
    <row r="756">
      <c r="C756" s="45"/>
    </row>
    <row r="757">
      <c r="C757" s="45"/>
    </row>
    <row r="758">
      <c r="C758" s="45"/>
    </row>
    <row r="759">
      <c r="C759" s="45"/>
    </row>
    <row r="760">
      <c r="C760" s="45"/>
    </row>
    <row r="761">
      <c r="C761" s="45"/>
    </row>
    <row r="762">
      <c r="C762" s="45"/>
    </row>
    <row r="763">
      <c r="C763" s="45"/>
    </row>
    <row r="764">
      <c r="C764" s="45"/>
    </row>
    <row r="765">
      <c r="C765" s="45"/>
    </row>
    <row r="766">
      <c r="C766" s="45"/>
    </row>
    <row r="767">
      <c r="C767" s="45"/>
    </row>
    <row r="768">
      <c r="C768" s="45"/>
    </row>
    <row r="769">
      <c r="C769" s="45"/>
    </row>
    <row r="770">
      <c r="C770" s="45"/>
    </row>
    <row r="771">
      <c r="C771" s="45"/>
    </row>
    <row r="772">
      <c r="C772" s="45"/>
    </row>
    <row r="773">
      <c r="C773" s="45"/>
    </row>
    <row r="774">
      <c r="C774" s="45"/>
    </row>
    <row r="775">
      <c r="C775" s="45"/>
    </row>
    <row r="776">
      <c r="C776" s="45"/>
    </row>
    <row r="777">
      <c r="C777" s="45"/>
    </row>
    <row r="778">
      <c r="C778" s="45"/>
    </row>
    <row r="779">
      <c r="C779" s="45"/>
    </row>
    <row r="780">
      <c r="C780" s="45"/>
    </row>
    <row r="781">
      <c r="C781" s="45"/>
    </row>
    <row r="782">
      <c r="C782" s="45"/>
    </row>
    <row r="783">
      <c r="C783" s="45"/>
    </row>
    <row r="784">
      <c r="C784" s="45"/>
    </row>
    <row r="785">
      <c r="C785" s="45"/>
    </row>
    <row r="786">
      <c r="C786" s="45"/>
    </row>
    <row r="787">
      <c r="C787" s="45"/>
    </row>
    <row r="788">
      <c r="C788" s="45"/>
    </row>
    <row r="789">
      <c r="C789" s="45"/>
    </row>
    <row r="790">
      <c r="C790" s="45"/>
    </row>
    <row r="791">
      <c r="C791" s="45"/>
    </row>
    <row r="792">
      <c r="C792" s="45"/>
    </row>
    <row r="793">
      <c r="C793" s="45"/>
    </row>
    <row r="794">
      <c r="C794" s="45"/>
    </row>
    <row r="795">
      <c r="C795" s="45"/>
    </row>
    <row r="796">
      <c r="C796" s="45"/>
    </row>
    <row r="797">
      <c r="C797" s="45"/>
    </row>
    <row r="798">
      <c r="C798" s="45"/>
    </row>
    <row r="799">
      <c r="C799" s="45"/>
    </row>
    <row r="800">
      <c r="C800" s="45"/>
    </row>
    <row r="801">
      <c r="C801" s="45"/>
    </row>
    <row r="802">
      <c r="C802" s="45"/>
    </row>
    <row r="803">
      <c r="C803" s="45"/>
    </row>
    <row r="804">
      <c r="C804" s="45"/>
    </row>
    <row r="805">
      <c r="C805" s="45"/>
    </row>
    <row r="806">
      <c r="C806" s="45"/>
    </row>
    <row r="807">
      <c r="C807" s="45"/>
    </row>
    <row r="808">
      <c r="C808" s="45"/>
    </row>
    <row r="809">
      <c r="C809" s="45"/>
    </row>
    <row r="810">
      <c r="C810" s="45"/>
    </row>
    <row r="811">
      <c r="C811" s="45"/>
    </row>
    <row r="812">
      <c r="C812" s="45"/>
    </row>
    <row r="813">
      <c r="C813" s="45"/>
    </row>
    <row r="814">
      <c r="C814" s="45"/>
    </row>
    <row r="815">
      <c r="C815" s="45"/>
    </row>
    <row r="816">
      <c r="C816" s="45"/>
    </row>
    <row r="817">
      <c r="C817" s="45"/>
    </row>
    <row r="818">
      <c r="C818" s="45"/>
    </row>
    <row r="819">
      <c r="C819" s="45"/>
    </row>
    <row r="820">
      <c r="C820" s="45"/>
    </row>
    <row r="821">
      <c r="C821" s="45"/>
    </row>
    <row r="822">
      <c r="C822" s="45"/>
    </row>
    <row r="823">
      <c r="C823" s="45"/>
    </row>
    <row r="824">
      <c r="C824" s="45"/>
    </row>
    <row r="825">
      <c r="C825" s="45"/>
    </row>
    <row r="826">
      <c r="C826" s="45"/>
    </row>
    <row r="827">
      <c r="C827" s="45"/>
    </row>
    <row r="828">
      <c r="C828" s="45"/>
    </row>
    <row r="829">
      <c r="C829" s="45"/>
    </row>
    <row r="830">
      <c r="C830" s="45"/>
    </row>
    <row r="831">
      <c r="C831" s="45"/>
    </row>
    <row r="832">
      <c r="C832" s="45"/>
    </row>
    <row r="833">
      <c r="C833" s="45"/>
    </row>
    <row r="834">
      <c r="C834" s="45"/>
    </row>
    <row r="835">
      <c r="C835" s="45"/>
    </row>
    <row r="836">
      <c r="C836" s="45"/>
    </row>
    <row r="837">
      <c r="C837" s="45"/>
    </row>
    <row r="838">
      <c r="C838" s="45"/>
    </row>
    <row r="839">
      <c r="C839" s="45"/>
    </row>
    <row r="840">
      <c r="C840" s="45"/>
    </row>
    <row r="841">
      <c r="C841" s="45"/>
    </row>
    <row r="842">
      <c r="C842" s="45"/>
    </row>
    <row r="843">
      <c r="C843" s="45"/>
    </row>
    <row r="844">
      <c r="C844" s="45"/>
    </row>
    <row r="845">
      <c r="C845" s="45"/>
    </row>
    <row r="846">
      <c r="C846" s="45"/>
    </row>
    <row r="847">
      <c r="C847" s="45"/>
    </row>
    <row r="848">
      <c r="C848" s="45"/>
    </row>
    <row r="849">
      <c r="C849" s="45"/>
    </row>
    <row r="850">
      <c r="C850" s="45"/>
    </row>
    <row r="851">
      <c r="C851" s="45"/>
    </row>
    <row r="852">
      <c r="C852" s="45"/>
    </row>
    <row r="853">
      <c r="C853" s="45"/>
    </row>
    <row r="854">
      <c r="C854" s="45"/>
    </row>
    <row r="855">
      <c r="C855" s="45"/>
    </row>
    <row r="856">
      <c r="C856" s="45"/>
    </row>
    <row r="857">
      <c r="C857" s="45"/>
    </row>
    <row r="858">
      <c r="C858" s="45"/>
    </row>
    <row r="859">
      <c r="C859" s="45"/>
    </row>
    <row r="860">
      <c r="C860" s="45"/>
    </row>
    <row r="861">
      <c r="C861" s="45"/>
    </row>
    <row r="862">
      <c r="C862" s="45"/>
    </row>
    <row r="863">
      <c r="C863" s="45"/>
    </row>
    <row r="864">
      <c r="C864" s="45"/>
    </row>
    <row r="865">
      <c r="C865" s="45"/>
    </row>
    <row r="866">
      <c r="C866" s="45"/>
    </row>
    <row r="867">
      <c r="C867" s="45"/>
    </row>
    <row r="868">
      <c r="C868" s="45"/>
    </row>
    <row r="869">
      <c r="C869" s="45"/>
    </row>
    <row r="870">
      <c r="C870" s="45"/>
    </row>
    <row r="871">
      <c r="C871" s="45"/>
    </row>
    <row r="872">
      <c r="C872" s="45"/>
    </row>
    <row r="873">
      <c r="C873" s="45"/>
    </row>
    <row r="874">
      <c r="C874" s="45"/>
    </row>
    <row r="875">
      <c r="C875" s="45"/>
    </row>
    <row r="876">
      <c r="C876" s="45"/>
    </row>
    <row r="877">
      <c r="C877" s="45"/>
    </row>
    <row r="878">
      <c r="C878" s="45"/>
    </row>
    <row r="879">
      <c r="C879" s="45"/>
    </row>
    <row r="880">
      <c r="C880" s="45"/>
    </row>
    <row r="881">
      <c r="C881" s="45"/>
    </row>
    <row r="882">
      <c r="C882" s="45"/>
    </row>
    <row r="883">
      <c r="C883" s="45"/>
    </row>
    <row r="884">
      <c r="C884" s="45"/>
    </row>
    <row r="885">
      <c r="C885" s="45"/>
    </row>
    <row r="886">
      <c r="C886" s="45"/>
    </row>
    <row r="887">
      <c r="C887" s="45"/>
    </row>
    <row r="888">
      <c r="C888" s="45"/>
    </row>
    <row r="889">
      <c r="C889" s="45"/>
    </row>
    <row r="890">
      <c r="C890" s="45"/>
    </row>
    <row r="891">
      <c r="C891" s="45"/>
    </row>
    <row r="892">
      <c r="C892" s="45"/>
    </row>
    <row r="893">
      <c r="C893" s="45"/>
    </row>
    <row r="894">
      <c r="C894" s="45"/>
    </row>
    <row r="895">
      <c r="C895" s="45"/>
    </row>
    <row r="896">
      <c r="C896" s="45"/>
    </row>
    <row r="897">
      <c r="C897" s="45"/>
    </row>
    <row r="898">
      <c r="C898" s="45"/>
    </row>
    <row r="899">
      <c r="C899" s="45"/>
    </row>
    <row r="900">
      <c r="C900" s="45"/>
    </row>
    <row r="901">
      <c r="C901" s="45"/>
    </row>
    <row r="902">
      <c r="C902" s="45"/>
    </row>
    <row r="903">
      <c r="C903" s="45"/>
    </row>
    <row r="904">
      <c r="C904" s="45"/>
    </row>
    <row r="905">
      <c r="C905" s="45"/>
    </row>
    <row r="906">
      <c r="C906" s="45"/>
    </row>
    <row r="907">
      <c r="C907" s="45"/>
    </row>
    <row r="908">
      <c r="C908" s="45"/>
    </row>
    <row r="909">
      <c r="C909" s="45"/>
    </row>
    <row r="910">
      <c r="C910" s="45"/>
    </row>
    <row r="911">
      <c r="C911" s="45"/>
    </row>
    <row r="912">
      <c r="C912" s="45"/>
    </row>
    <row r="913">
      <c r="C913" s="45"/>
    </row>
    <row r="914">
      <c r="C914" s="45"/>
    </row>
    <row r="915">
      <c r="C915" s="45"/>
    </row>
    <row r="916">
      <c r="C916" s="45"/>
    </row>
    <row r="917">
      <c r="C917" s="45"/>
    </row>
    <row r="918">
      <c r="C918" s="45"/>
    </row>
    <row r="919">
      <c r="C919" s="45"/>
    </row>
    <row r="920">
      <c r="C920" s="45"/>
    </row>
    <row r="921">
      <c r="C921" s="45"/>
    </row>
    <row r="922">
      <c r="C922" s="45"/>
    </row>
    <row r="923">
      <c r="C923" s="45"/>
    </row>
    <row r="924">
      <c r="C924" s="45"/>
    </row>
    <row r="925">
      <c r="C925" s="45"/>
    </row>
    <row r="926">
      <c r="C926" s="45"/>
    </row>
    <row r="927">
      <c r="C927" s="45"/>
    </row>
    <row r="928">
      <c r="C928" s="45"/>
    </row>
    <row r="929">
      <c r="C929" s="45"/>
    </row>
    <row r="930">
      <c r="C930" s="45"/>
    </row>
    <row r="931">
      <c r="C931" s="45"/>
    </row>
    <row r="932">
      <c r="C932" s="45"/>
    </row>
    <row r="933">
      <c r="C933" s="45"/>
    </row>
    <row r="934">
      <c r="C934" s="45"/>
    </row>
    <row r="935">
      <c r="C935" s="45"/>
    </row>
    <row r="936">
      <c r="C936" s="45"/>
    </row>
    <row r="937">
      <c r="C937" s="45"/>
    </row>
    <row r="938">
      <c r="C938" s="45"/>
    </row>
    <row r="939">
      <c r="C939" s="45"/>
    </row>
    <row r="940">
      <c r="C940" s="45"/>
    </row>
    <row r="941">
      <c r="C941" s="45"/>
    </row>
    <row r="942">
      <c r="C942" s="45"/>
    </row>
    <row r="943">
      <c r="C943" s="45"/>
    </row>
    <row r="944">
      <c r="C944" s="45"/>
    </row>
    <row r="945">
      <c r="C945" s="45"/>
    </row>
    <row r="946">
      <c r="C946" s="45"/>
    </row>
    <row r="947">
      <c r="C947" s="45"/>
    </row>
    <row r="948">
      <c r="C948" s="45"/>
    </row>
    <row r="949">
      <c r="C949" s="45"/>
    </row>
    <row r="950">
      <c r="C950" s="45"/>
    </row>
    <row r="951">
      <c r="C951" s="45"/>
    </row>
    <row r="952">
      <c r="C952" s="45"/>
    </row>
    <row r="953">
      <c r="C953" s="45"/>
    </row>
    <row r="954">
      <c r="C954" s="45"/>
    </row>
    <row r="955">
      <c r="C955" s="45"/>
    </row>
    <row r="956">
      <c r="C956" s="45"/>
    </row>
    <row r="957">
      <c r="C957" s="45"/>
    </row>
    <row r="958">
      <c r="C958" s="45"/>
    </row>
    <row r="959">
      <c r="C959" s="45"/>
    </row>
    <row r="960">
      <c r="C960" s="45"/>
    </row>
    <row r="961">
      <c r="C961" s="45"/>
    </row>
    <row r="962">
      <c r="C962" s="45"/>
    </row>
    <row r="963">
      <c r="C963" s="45"/>
    </row>
    <row r="964">
      <c r="C964" s="45"/>
    </row>
    <row r="965">
      <c r="C965" s="45"/>
    </row>
    <row r="966">
      <c r="C966" s="45"/>
    </row>
    <row r="967">
      <c r="C967" s="45"/>
    </row>
    <row r="968">
      <c r="C968" s="45"/>
    </row>
    <row r="969">
      <c r="C969" s="45"/>
    </row>
    <row r="970">
      <c r="C970" s="45"/>
    </row>
    <row r="971">
      <c r="C971" s="45"/>
    </row>
    <row r="972">
      <c r="C972" s="45"/>
    </row>
    <row r="973">
      <c r="C973" s="45"/>
    </row>
    <row r="974">
      <c r="C974" s="45"/>
    </row>
    <row r="975">
      <c r="C975" s="45"/>
    </row>
    <row r="976">
      <c r="C976" s="45"/>
    </row>
    <row r="977">
      <c r="C977" s="45"/>
    </row>
    <row r="978">
      <c r="C978" s="45"/>
    </row>
    <row r="979">
      <c r="C979" s="45"/>
    </row>
    <row r="980">
      <c r="C980" s="45"/>
    </row>
    <row r="981">
      <c r="C981" s="45"/>
    </row>
    <row r="982">
      <c r="C982" s="45"/>
    </row>
    <row r="983">
      <c r="C983" s="45"/>
    </row>
    <row r="984">
      <c r="C984" s="45"/>
    </row>
    <row r="985">
      <c r="C985" s="45"/>
    </row>
    <row r="986">
      <c r="C986" s="45"/>
    </row>
    <row r="987">
      <c r="C987" s="45"/>
    </row>
    <row r="988">
      <c r="C988" s="45"/>
    </row>
    <row r="989">
      <c r="C989" s="45"/>
    </row>
    <row r="990">
      <c r="C990" s="45"/>
    </row>
    <row r="991">
      <c r="C991" s="45"/>
    </row>
    <row r="992">
      <c r="C992" s="45"/>
    </row>
    <row r="993">
      <c r="C993" s="45"/>
    </row>
    <row r="994">
      <c r="C994" s="45"/>
    </row>
    <row r="995">
      <c r="C995" s="45"/>
    </row>
    <row r="996">
      <c r="C996" s="45"/>
    </row>
    <row r="997">
      <c r="C997" s="45"/>
    </row>
    <row r="998">
      <c r="C998" s="45"/>
    </row>
    <row r="999">
      <c r="C999" s="45"/>
    </row>
    <row r="1000">
      <c r="C1000" s="45"/>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29</v>
      </c>
      <c r="B1" s="46" t="s">
        <v>3</v>
      </c>
      <c r="C1" s="47" t="s">
        <v>41</v>
      </c>
    </row>
    <row r="2">
      <c r="A2" s="48">
        <v>45978.0</v>
      </c>
      <c r="B2" s="21">
        <v>92094.0</v>
      </c>
      <c r="C2" s="49">
        <f>(B2-B12)/B12*100</f>
        <v>-10.91011106</v>
      </c>
    </row>
    <row r="3">
      <c r="A3" s="48">
        <v>45977.0</v>
      </c>
      <c r="B3" s="21">
        <v>94177.0</v>
      </c>
      <c r="C3" s="49"/>
    </row>
    <row r="4">
      <c r="A4" s="48">
        <v>45976.0</v>
      </c>
      <c r="B4" s="21">
        <v>95549.0</v>
      </c>
      <c r="C4" s="49"/>
    </row>
    <row r="5">
      <c r="A5" s="48">
        <v>45975.0</v>
      </c>
      <c r="B5" s="21">
        <v>94398.0</v>
      </c>
      <c r="C5" s="49"/>
    </row>
    <row r="6">
      <c r="A6" s="48">
        <v>45974.0</v>
      </c>
      <c r="B6" s="21">
        <v>99697.0</v>
      </c>
      <c r="C6" s="49"/>
    </row>
    <row r="7">
      <c r="A7" s="48">
        <v>45973.0</v>
      </c>
      <c r="B7" s="21">
        <v>101663.0</v>
      </c>
      <c r="C7" s="49"/>
    </row>
    <row r="8">
      <c r="A8" s="48">
        <v>45972.0</v>
      </c>
      <c r="B8" s="21">
        <v>102997.0</v>
      </c>
      <c r="C8" s="49"/>
    </row>
    <row r="9">
      <c r="A9" s="48">
        <v>45971.0</v>
      </c>
      <c r="B9" s="21">
        <v>105997.0</v>
      </c>
      <c r="C9" s="49"/>
    </row>
    <row r="10">
      <c r="A10" s="50">
        <v>45970.0</v>
      </c>
      <c r="B10" s="21">
        <v>104720.0</v>
      </c>
      <c r="C10" s="49"/>
    </row>
    <row r="11">
      <c r="A11" s="50">
        <v>45969.0</v>
      </c>
      <c r="B11" s="21">
        <v>102282.0</v>
      </c>
      <c r="C11" s="49"/>
    </row>
    <row r="12">
      <c r="A12" s="50">
        <v>45968.0</v>
      </c>
      <c r="B12" s="21">
        <v>103372.0</v>
      </c>
      <c r="C12" s="49"/>
    </row>
    <row r="13">
      <c r="A13" s="9"/>
      <c r="B13" s="42"/>
      <c r="C13" s="49"/>
    </row>
    <row r="14">
      <c r="C14" s="42"/>
      <c r="D14" s="47" t="s">
        <v>42</v>
      </c>
    </row>
    <row r="15">
      <c r="A15" s="9"/>
      <c r="C15" s="42"/>
      <c r="D15" s="47" t="s">
        <v>43</v>
      </c>
    </row>
    <row r="16">
      <c r="A16" s="9"/>
      <c r="C16" s="42"/>
      <c r="D16" s="47" t="s">
        <v>39</v>
      </c>
    </row>
    <row r="17">
      <c r="A17" s="9"/>
      <c r="C17" s="42"/>
      <c r="D17" s="47" t="s">
        <v>44</v>
      </c>
    </row>
    <row r="18">
      <c r="A18" s="9"/>
    </row>
    <row r="19">
      <c r="A19" s="9"/>
      <c r="B19" s="42"/>
      <c r="C19" s="49"/>
    </row>
    <row r="20">
      <c r="A20" s="9"/>
      <c r="B20" s="42"/>
      <c r="C20" s="49"/>
    </row>
    <row r="21">
      <c r="A21" s="9"/>
      <c r="B21" s="42"/>
      <c r="C21" s="49"/>
    </row>
    <row r="22">
      <c r="A22" s="9"/>
      <c r="B22" s="42"/>
      <c r="C22" s="49"/>
    </row>
    <row r="23">
      <c r="A23" s="9"/>
      <c r="B23" s="42"/>
      <c r="C23" s="49"/>
    </row>
    <row r="24">
      <c r="A24" s="9"/>
      <c r="B24" s="42"/>
      <c r="C24" s="49"/>
    </row>
    <row r="25">
      <c r="A25" s="9"/>
      <c r="B25" s="42"/>
      <c r="C25" s="49"/>
    </row>
    <row r="26">
      <c r="A26" s="9"/>
      <c r="B26" s="42"/>
      <c r="C26" s="49"/>
    </row>
    <row r="27">
      <c r="A27" s="9"/>
      <c r="B27" s="42"/>
      <c r="C27" s="49"/>
    </row>
    <row r="28">
      <c r="A28" s="9"/>
      <c r="B28" s="42"/>
      <c r="C28" s="49"/>
    </row>
    <row r="29">
      <c r="A29" s="9"/>
      <c r="B29" s="42"/>
      <c r="C29" s="49"/>
    </row>
    <row r="30">
      <c r="A30" s="9"/>
      <c r="B30" s="42"/>
      <c r="C30" s="49"/>
    </row>
    <row r="31">
      <c r="A31" s="9"/>
      <c r="B31" s="42"/>
      <c r="C31" s="49"/>
    </row>
    <row r="32">
      <c r="A32" s="9"/>
      <c r="B32" s="42"/>
      <c r="C32" s="49"/>
    </row>
    <row r="33">
      <c r="A33" s="9"/>
      <c r="B33" s="42"/>
      <c r="C33" s="49"/>
    </row>
    <row r="34">
      <c r="A34" s="9"/>
      <c r="B34" s="42"/>
      <c r="C34" s="49"/>
    </row>
    <row r="35">
      <c r="A35" s="9"/>
      <c r="B35" s="42"/>
      <c r="C35" s="49"/>
    </row>
    <row r="36">
      <c r="A36" s="9"/>
      <c r="B36" s="42"/>
      <c r="C36" s="49"/>
    </row>
    <row r="37">
      <c r="A37" s="9"/>
      <c r="B37" s="42"/>
      <c r="C37" s="49"/>
    </row>
    <row r="38">
      <c r="A38" s="9"/>
      <c r="B38" s="42"/>
      <c r="C38" s="49"/>
    </row>
    <row r="39">
      <c r="A39" s="9"/>
      <c r="B39" s="42"/>
      <c r="C39" s="49"/>
    </row>
    <row r="40">
      <c r="A40" s="9"/>
      <c r="B40" s="42"/>
      <c r="C40" s="49"/>
    </row>
    <row r="41">
      <c r="A41" s="9"/>
      <c r="B41" s="42"/>
      <c r="C41" s="49"/>
    </row>
    <row r="42">
      <c r="A42" s="9"/>
      <c r="B42" s="42"/>
      <c r="C42" s="49"/>
    </row>
    <row r="43">
      <c r="A43" s="9"/>
      <c r="B43" s="42"/>
      <c r="C43" s="49"/>
    </row>
    <row r="44">
      <c r="A44" s="9"/>
      <c r="B44" s="42"/>
      <c r="C44" s="49"/>
    </row>
    <row r="45">
      <c r="A45" s="9"/>
      <c r="B45" s="42"/>
      <c r="C45" s="49"/>
    </row>
    <row r="46">
      <c r="A46" s="9"/>
      <c r="B46" s="42"/>
      <c r="C46" s="49"/>
    </row>
    <row r="47">
      <c r="A47" s="9"/>
      <c r="B47" s="42"/>
      <c r="C47" s="49"/>
    </row>
    <row r="48">
      <c r="A48" s="9"/>
      <c r="B48" s="42"/>
      <c r="C48" s="49"/>
    </row>
    <row r="49">
      <c r="A49" s="9"/>
      <c r="B49" s="42"/>
      <c r="C49" s="49"/>
    </row>
    <row r="50">
      <c r="A50" s="9"/>
      <c r="B50" s="42"/>
      <c r="C50" s="49"/>
    </row>
    <row r="51">
      <c r="A51" s="9"/>
      <c r="B51" s="42"/>
      <c r="C51" s="49"/>
    </row>
    <row r="52">
      <c r="A52" s="9"/>
      <c r="B52" s="42"/>
      <c r="C52" s="49"/>
    </row>
    <row r="53">
      <c r="A53" s="9"/>
      <c r="B53" s="42"/>
      <c r="C53" s="49"/>
    </row>
    <row r="54">
      <c r="A54" s="9"/>
      <c r="B54" s="42"/>
      <c r="C54" s="49"/>
    </row>
    <row r="55">
      <c r="A55" s="9"/>
      <c r="B55" s="42"/>
      <c r="C55" s="49"/>
    </row>
    <row r="56">
      <c r="A56" s="9"/>
      <c r="B56" s="42"/>
      <c r="C56" s="49"/>
    </row>
    <row r="57">
      <c r="A57" s="9"/>
      <c r="B57" s="42"/>
      <c r="C57" s="49"/>
    </row>
    <row r="58">
      <c r="A58" s="9"/>
      <c r="B58" s="42"/>
      <c r="C58" s="49"/>
    </row>
    <row r="59">
      <c r="A59" s="9"/>
      <c r="B59" s="42"/>
      <c r="C59" s="49"/>
    </row>
    <row r="60">
      <c r="A60" s="9"/>
      <c r="B60" s="42"/>
      <c r="C60" s="49"/>
    </row>
    <row r="61">
      <c r="A61" s="9"/>
      <c r="B61" s="42"/>
      <c r="C61" s="49"/>
    </row>
    <row r="62">
      <c r="A62" s="9"/>
      <c r="B62" s="42"/>
      <c r="C62" s="49"/>
    </row>
    <row r="63">
      <c r="A63" s="9"/>
      <c r="B63" s="42"/>
      <c r="C63" s="49"/>
    </row>
    <row r="64">
      <c r="A64" s="9"/>
      <c r="B64" s="42"/>
      <c r="C64" s="49"/>
    </row>
    <row r="65">
      <c r="A65" s="9"/>
      <c r="B65" s="42"/>
      <c r="C65" s="49"/>
    </row>
    <row r="66">
      <c r="A66" s="9"/>
      <c r="B66" s="42"/>
      <c r="C66" s="49"/>
    </row>
    <row r="67">
      <c r="A67" s="9"/>
      <c r="B67" s="42"/>
      <c r="C67" s="49"/>
    </row>
    <row r="68">
      <c r="A68" s="9"/>
      <c r="B68" s="42"/>
      <c r="C68" s="49"/>
    </row>
    <row r="69">
      <c r="A69" s="9"/>
      <c r="B69" s="42"/>
      <c r="C69" s="49"/>
    </row>
    <row r="70">
      <c r="A70" s="9"/>
      <c r="B70" s="42"/>
      <c r="C70" s="49"/>
    </row>
    <row r="71">
      <c r="A71" s="9"/>
      <c r="B71" s="42"/>
      <c r="C71" s="49"/>
    </row>
    <row r="72">
      <c r="A72" s="9"/>
      <c r="B72" s="42"/>
      <c r="C72" s="49"/>
    </row>
    <row r="73">
      <c r="A73" s="9"/>
      <c r="B73" s="42"/>
      <c r="C73" s="49"/>
    </row>
    <row r="74">
      <c r="A74" s="9"/>
      <c r="B74" s="42"/>
      <c r="C74" s="49"/>
    </row>
    <row r="75">
      <c r="A75" s="9"/>
      <c r="B75" s="42"/>
      <c r="C75" s="49"/>
    </row>
    <row r="76">
      <c r="A76" s="9"/>
      <c r="B76" s="42"/>
      <c r="C76" s="49"/>
    </row>
    <row r="77">
      <c r="A77" s="9"/>
      <c r="B77" s="42"/>
      <c r="C77" s="49"/>
    </row>
    <row r="78">
      <c r="A78" s="9"/>
      <c r="B78" s="42"/>
      <c r="C78" s="49"/>
    </row>
    <row r="79">
      <c r="A79" s="9"/>
      <c r="B79" s="42"/>
      <c r="C79" s="49"/>
    </row>
    <row r="80">
      <c r="A80" s="9"/>
      <c r="B80" s="42"/>
      <c r="C80" s="49"/>
    </row>
    <row r="81">
      <c r="A81" s="9"/>
      <c r="B81" s="42"/>
      <c r="C81" s="49"/>
    </row>
    <row r="82">
      <c r="A82" s="9"/>
      <c r="B82" s="42"/>
      <c r="C82" s="49"/>
    </row>
    <row r="83">
      <c r="A83" s="9"/>
      <c r="B83" s="42"/>
      <c r="C83" s="49"/>
    </row>
    <row r="84">
      <c r="A84" s="9"/>
      <c r="B84" s="42"/>
      <c r="C84" s="49"/>
    </row>
    <row r="85">
      <c r="A85" s="9"/>
      <c r="B85" s="42"/>
      <c r="C85" s="49"/>
    </row>
    <row r="86">
      <c r="A86" s="9"/>
      <c r="B86" s="42"/>
      <c r="C86" s="49"/>
    </row>
    <row r="87">
      <c r="A87" s="9"/>
      <c r="B87" s="42"/>
      <c r="C87" s="49"/>
    </row>
    <row r="88">
      <c r="A88" s="9"/>
      <c r="B88" s="42"/>
      <c r="C88" s="49"/>
    </row>
    <row r="89">
      <c r="A89" s="9"/>
      <c r="B89" s="42"/>
      <c r="C89" s="49"/>
    </row>
    <row r="90">
      <c r="A90" s="9"/>
      <c r="B90" s="42"/>
      <c r="C90" s="49"/>
    </row>
    <row r="91">
      <c r="A91" s="9"/>
      <c r="B91" s="42"/>
      <c r="C91" s="49"/>
    </row>
    <row r="92">
      <c r="A92" s="9"/>
      <c r="B92" s="42"/>
      <c r="C92" s="49"/>
    </row>
    <row r="93">
      <c r="A93" s="9"/>
      <c r="B93" s="42"/>
      <c r="C93" s="49"/>
    </row>
    <row r="94">
      <c r="A94" s="9"/>
      <c r="B94" s="42"/>
      <c r="C94" s="49"/>
    </row>
    <row r="95">
      <c r="A95" s="9"/>
      <c r="B95" s="42"/>
      <c r="C95" s="49"/>
    </row>
    <row r="96">
      <c r="A96" s="9"/>
      <c r="B96" s="42"/>
      <c r="C96" s="49"/>
    </row>
    <row r="97">
      <c r="A97" s="9"/>
      <c r="B97" s="42"/>
      <c r="C97" s="49"/>
    </row>
    <row r="98">
      <c r="A98" s="9"/>
      <c r="B98" s="42"/>
      <c r="C98" s="49"/>
    </row>
    <row r="99">
      <c r="A99" s="9"/>
      <c r="B99" s="42"/>
      <c r="C99" s="49"/>
    </row>
    <row r="100">
      <c r="A100" s="9"/>
      <c r="B100" s="42"/>
      <c r="C100" s="49"/>
    </row>
    <row r="101">
      <c r="A101" s="9"/>
      <c r="B101" s="42"/>
      <c r="C101" s="49"/>
    </row>
    <row r="102">
      <c r="A102" s="9"/>
      <c r="B102" s="42"/>
      <c r="C102" s="49"/>
    </row>
    <row r="103">
      <c r="A103" s="9"/>
      <c r="B103" s="42"/>
      <c r="C103" s="49"/>
    </row>
    <row r="104">
      <c r="A104" s="9"/>
      <c r="B104" s="42"/>
      <c r="C104" s="49"/>
    </row>
    <row r="105">
      <c r="A105" s="9"/>
      <c r="B105" s="42"/>
      <c r="C105" s="49"/>
    </row>
    <row r="106">
      <c r="A106" s="9"/>
      <c r="B106" s="42"/>
      <c r="C106" s="49"/>
    </row>
    <row r="107">
      <c r="A107" s="9"/>
      <c r="B107" s="42"/>
      <c r="C107" s="49"/>
    </row>
    <row r="108">
      <c r="A108" s="9"/>
      <c r="B108" s="42"/>
      <c r="C108" s="49"/>
    </row>
    <row r="109">
      <c r="A109" s="9"/>
      <c r="B109" s="42"/>
      <c r="C109" s="49"/>
    </row>
    <row r="110">
      <c r="A110" s="9"/>
      <c r="B110" s="42"/>
      <c r="C110" s="49"/>
    </row>
    <row r="111">
      <c r="A111" s="9"/>
      <c r="B111" s="42"/>
      <c r="C111" s="49"/>
    </row>
    <row r="112">
      <c r="A112" s="9"/>
      <c r="B112" s="42"/>
      <c r="C112" s="49"/>
    </row>
    <row r="113">
      <c r="A113" s="9"/>
      <c r="B113" s="42"/>
      <c r="C113" s="49"/>
    </row>
    <row r="114">
      <c r="A114" s="9"/>
      <c r="B114" s="42"/>
      <c r="C114" s="49"/>
    </row>
    <row r="115">
      <c r="A115" s="9"/>
      <c r="B115" s="42"/>
      <c r="C115" s="49"/>
    </row>
    <row r="116">
      <c r="A116" s="9"/>
      <c r="B116" s="42"/>
      <c r="C116" s="49"/>
    </row>
    <row r="117">
      <c r="A117" s="9"/>
      <c r="B117" s="42"/>
      <c r="C117" s="49"/>
    </row>
    <row r="118">
      <c r="A118" s="9"/>
      <c r="B118" s="42"/>
      <c r="C118" s="49"/>
    </row>
    <row r="119">
      <c r="A119" s="9"/>
      <c r="B119" s="42"/>
      <c r="C119" s="49"/>
    </row>
    <row r="120">
      <c r="A120" s="9"/>
      <c r="B120" s="42"/>
      <c r="C120" s="49"/>
    </row>
    <row r="121">
      <c r="A121" s="9"/>
      <c r="B121" s="42"/>
      <c r="C121" s="49"/>
    </row>
    <row r="122">
      <c r="A122" s="9"/>
      <c r="B122" s="42"/>
      <c r="C122" s="49"/>
    </row>
    <row r="123">
      <c r="A123" s="9"/>
      <c r="B123" s="42"/>
      <c r="C123" s="49"/>
    </row>
    <row r="124">
      <c r="A124" s="9"/>
      <c r="B124" s="42"/>
      <c r="C124" s="49"/>
    </row>
    <row r="125">
      <c r="A125" s="9"/>
      <c r="B125" s="42"/>
      <c r="C125" s="49"/>
    </row>
    <row r="126">
      <c r="A126" s="9"/>
      <c r="B126" s="42"/>
      <c r="C126" s="49"/>
    </row>
    <row r="127">
      <c r="A127" s="9"/>
      <c r="B127" s="42"/>
      <c r="C127" s="49"/>
    </row>
    <row r="128">
      <c r="A128" s="9"/>
      <c r="B128" s="42"/>
      <c r="C128" s="49"/>
    </row>
    <row r="129">
      <c r="A129" s="9"/>
      <c r="B129" s="42"/>
      <c r="C129" s="49"/>
    </row>
    <row r="130">
      <c r="A130" s="9"/>
      <c r="B130" s="42"/>
      <c r="C130" s="49"/>
    </row>
    <row r="131">
      <c r="A131" s="9"/>
      <c r="B131" s="42"/>
      <c r="C131" s="49"/>
    </row>
    <row r="132">
      <c r="A132" s="9"/>
      <c r="B132" s="42"/>
      <c r="C132" s="49"/>
    </row>
    <row r="133">
      <c r="A133" s="9"/>
      <c r="B133" s="42"/>
      <c r="C133" s="49"/>
    </row>
    <row r="134">
      <c r="A134" s="9"/>
      <c r="B134" s="42"/>
      <c r="C134" s="49"/>
    </row>
    <row r="135">
      <c r="A135" s="9"/>
      <c r="B135" s="42"/>
      <c r="C135" s="49"/>
    </row>
    <row r="136">
      <c r="A136" s="9"/>
      <c r="B136" s="42"/>
      <c r="C136" s="49"/>
    </row>
    <row r="137">
      <c r="A137" s="9"/>
      <c r="B137" s="42"/>
      <c r="C137" s="49"/>
    </row>
    <row r="138">
      <c r="A138" s="9"/>
      <c r="B138" s="42"/>
      <c r="C138" s="49"/>
    </row>
    <row r="139">
      <c r="A139" s="9"/>
      <c r="B139" s="42"/>
      <c r="C139" s="49"/>
    </row>
    <row r="140">
      <c r="A140" s="9"/>
      <c r="B140" s="42"/>
      <c r="C140" s="49"/>
    </row>
    <row r="141">
      <c r="A141" s="9"/>
      <c r="B141" s="42"/>
      <c r="C141" s="49"/>
    </row>
    <row r="142">
      <c r="A142" s="9"/>
      <c r="B142" s="42"/>
      <c r="C142" s="49"/>
    </row>
    <row r="143">
      <c r="A143" s="9"/>
      <c r="B143" s="42"/>
      <c r="C143" s="49"/>
    </row>
    <row r="144">
      <c r="A144" s="9"/>
      <c r="B144" s="42"/>
      <c r="C144" s="49"/>
    </row>
    <row r="145">
      <c r="A145" s="9"/>
      <c r="B145" s="42"/>
      <c r="C145" s="49"/>
    </row>
    <row r="146">
      <c r="A146" s="9"/>
      <c r="B146" s="42"/>
      <c r="C146" s="49"/>
    </row>
    <row r="147">
      <c r="A147" s="9"/>
      <c r="B147" s="42"/>
      <c r="C147" s="49"/>
    </row>
    <row r="148">
      <c r="A148" s="9"/>
      <c r="B148" s="42"/>
      <c r="C148" s="49"/>
    </row>
    <row r="149">
      <c r="A149" s="9"/>
      <c r="B149" s="42"/>
      <c r="C149" s="49"/>
    </row>
    <row r="150">
      <c r="A150" s="9"/>
      <c r="B150" s="42"/>
      <c r="C150" s="49"/>
    </row>
    <row r="151">
      <c r="A151" s="9"/>
      <c r="B151" s="42"/>
      <c r="C151" s="49"/>
    </row>
    <row r="152">
      <c r="A152" s="9"/>
      <c r="B152" s="42"/>
      <c r="C152" s="49"/>
    </row>
    <row r="153">
      <c r="A153" s="9"/>
      <c r="B153" s="42"/>
      <c r="C153" s="49"/>
    </row>
    <row r="154">
      <c r="A154" s="9"/>
      <c r="B154" s="42"/>
      <c r="C154" s="49"/>
    </row>
    <row r="155">
      <c r="A155" s="9"/>
      <c r="B155" s="42"/>
      <c r="C155" s="49"/>
    </row>
    <row r="156">
      <c r="A156" s="9"/>
      <c r="B156" s="42"/>
      <c r="C156" s="49"/>
    </row>
    <row r="157">
      <c r="A157" s="9"/>
      <c r="B157" s="42"/>
      <c r="C157" s="49"/>
    </row>
    <row r="158">
      <c r="A158" s="9"/>
      <c r="B158" s="42"/>
      <c r="C158" s="49"/>
    </row>
    <row r="159">
      <c r="A159" s="9"/>
      <c r="B159" s="42"/>
      <c r="C159" s="49"/>
    </row>
    <row r="160">
      <c r="A160" s="9"/>
      <c r="B160" s="42"/>
      <c r="C160" s="49"/>
    </row>
    <row r="161">
      <c r="A161" s="9"/>
      <c r="B161" s="42"/>
      <c r="C161" s="49"/>
    </row>
    <row r="162">
      <c r="A162" s="9"/>
      <c r="B162" s="42"/>
      <c r="C162" s="49"/>
    </row>
    <row r="163">
      <c r="A163" s="9"/>
      <c r="B163" s="42"/>
      <c r="C163" s="49"/>
    </row>
    <row r="164">
      <c r="A164" s="9"/>
      <c r="B164" s="42"/>
      <c r="C164" s="49"/>
    </row>
    <row r="165">
      <c r="A165" s="9"/>
      <c r="B165" s="42"/>
      <c r="C165" s="49"/>
    </row>
    <row r="166">
      <c r="A166" s="9"/>
      <c r="B166" s="42"/>
      <c r="C166" s="49"/>
    </row>
    <row r="167">
      <c r="A167" s="9"/>
      <c r="B167" s="42"/>
      <c r="C167" s="49"/>
    </row>
    <row r="168">
      <c r="A168" s="9"/>
      <c r="B168" s="42"/>
      <c r="C168" s="49"/>
    </row>
    <row r="169">
      <c r="A169" s="9"/>
      <c r="B169" s="42"/>
      <c r="C169" s="49"/>
    </row>
    <row r="170">
      <c r="A170" s="9"/>
      <c r="B170" s="42"/>
      <c r="C170" s="49"/>
    </row>
    <row r="171">
      <c r="A171" s="9"/>
      <c r="B171" s="42"/>
      <c r="C171" s="49"/>
    </row>
    <row r="172">
      <c r="A172" s="9"/>
      <c r="B172" s="42"/>
      <c r="C172" s="49"/>
    </row>
    <row r="173">
      <c r="A173" s="9"/>
      <c r="B173" s="42"/>
      <c r="C173" s="49"/>
    </row>
    <row r="174">
      <c r="A174" s="9"/>
      <c r="B174" s="42"/>
      <c r="C174" s="49"/>
    </row>
    <row r="175">
      <c r="A175" s="9"/>
      <c r="B175" s="42"/>
      <c r="C175" s="49"/>
    </row>
    <row r="176">
      <c r="A176" s="9"/>
      <c r="B176" s="42"/>
      <c r="C176" s="49"/>
    </row>
    <row r="177">
      <c r="A177" s="9"/>
      <c r="B177" s="42"/>
      <c r="C177" s="49"/>
    </row>
    <row r="178">
      <c r="A178" s="9"/>
      <c r="B178" s="42"/>
      <c r="C178" s="49"/>
    </row>
    <row r="179">
      <c r="A179" s="9"/>
      <c r="B179" s="42"/>
      <c r="C179" s="49"/>
    </row>
    <row r="180">
      <c r="A180" s="9"/>
      <c r="B180" s="42"/>
      <c r="C180" s="49"/>
    </row>
    <row r="181">
      <c r="A181" s="9"/>
      <c r="B181" s="42"/>
      <c r="C181" s="49"/>
    </row>
    <row r="182">
      <c r="A182" s="9"/>
      <c r="B182" s="42"/>
      <c r="C182" s="49"/>
    </row>
    <row r="183">
      <c r="A183" s="9"/>
      <c r="B183" s="42"/>
      <c r="C183" s="49"/>
    </row>
    <row r="184">
      <c r="A184" s="9"/>
      <c r="B184" s="42"/>
      <c r="C184" s="49"/>
    </row>
    <row r="185">
      <c r="A185" s="9"/>
      <c r="B185" s="42"/>
      <c r="C185" s="49"/>
    </row>
    <row r="186">
      <c r="A186" s="9"/>
      <c r="B186" s="42"/>
      <c r="C186" s="49"/>
    </row>
    <row r="187">
      <c r="A187" s="9"/>
      <c r="B187" s="42"/>
      <c r="C187" s="49"/>
    </row>
    <row r="188">
      <c r="A188" s="9"/>
      <c r="B188" s="42"/>
      <c r="C188" s="49"/>
    </row>
    <row r="189">
      <c r="A189" s="9"/>
      <c r="B189" s="42"/>
      <c r="C189" s="49"/>
    </row>
    <row r="190">
      <c r="A190" s="9"/>
      <c r="B190" s="42"/>
      <c r="C190" s="49"/>
    </row>
    <row r="191">
      <c r="A191" s="9"/>
      <c r="B191" s="42"/>
      <c r="C191" s="49"/>
    </row>
    <row r="192">
      <c r="A192" s="9"/>
      <c r="B192" s="42"/>
      <c r="C192" s="49"/>
    </row>
    <row r="193">
      <c r="A193" s="9"/>
      <c r="B193" s="42"/>
      <c r="C193" s="49"/>
    </row>
    <row r="194">
      <c r="A194" s="9"/>
      <c r="B194" s="42"/>
      <c r="C194" s="49"/>
    </row>
    <row r="195">
      <c r="A195" s="9"/>
      <c r="B195" s="42"/>
      <c r="C195" s="49"/>
    </row>
    <row r="196">
      <c r="A196" s="9"/>
      <c r="B196" s="42"/>
      <c r="C196" s="49"/>
    </row>
    <row r="197">
      <c r="A197" s="9"/>
      <c r="B197" s="42"/>
      <c r="C197" s="49"/>
    </row>
    <row r="198">
      <c r="A198" s="9"/>
      <c r="B198" s="42"/>
      <c r="C198" s="49"/>
    </row>
    <row r="199">
      <c r="A199" s="9"/>
      <c r="B199" s="42"/>
      <c r="C199" s="49"/>
    </row>
    <row r="200">
      <c r="A200" s="9"/>
      <c r="B200" s="42"/>
      <c r="C200" s="49"/>
    </row>
    <row r="201">
      <c r="A201" s="9"/>
      <c r="B201" s="42"/>
      <c r="C201" s="49"/>
    </row>
    <row r="202">
      <c r="A202" s="9"/>
      <c r="B202" s="42"/>
      <c r="C202" s="49"/>
    </row>
    <row r="203">
      <c r="A203" s="9"/>
      <c r="B203" s="42"/>
      <c r="C203" s="49"/>
    </row>
    <row r="204">
      <c r="A204" s="9"/>
      <c r="B204" s="42"/>
      <c r="C204" s="49"/>
    </row>
    <row r="205">
      <c r="A205" s="9"/>
      <c r="B205" s="42"/>
      <c r="C205" s="49"/>
    </row>
    <row r="206">
      <c r="A206" s="9"/>
      <c r="B206" s="42"/>
      <c r="C206" s="49"/>
    </row>
    <row r="207">
      <c r="A207" s="9"/>
      <c r="B207" s="42"/>
      <c r="C207" s="49"/>
    </row>
    <row r="208">
      <c r="A208" s="9"/>
      <c r="B208" s="42"/>
      <c r="C208" s="49"/>
    </row>
    <row r="209">
      <c r="A209" s="9"/>
      <c r="B209" s="42"/>
      <c r="C209" s="49"/>
    </row>
    <row r="210">
      <c r="A210" s="9"/>
      <c r="B210" s="42"/>
      <c r="C210" s="49"/>
    </row>
    <row r="211">
      <c r="A211" s="9"/>
      <c r="B211" s="42"/>
      <c r="C211" s="49"/>
    </row>
    <row r="212">
      <c r="A212" s="9"/>
      <c r="B212" s="42"/>
      <c r="C212" s="49"/>
    </row>
    <row r="213">
      <c r="A213" s="9"/>
      <c r="B213" s="42"/>
      <c r="C213" s="49"/>
    </row>
    <row r="214">
      <c r="A214" s="9"/>
      <c r="B214" s="42"/>
      <c r="C214" s="49"/>
    </row>
    <row r="215">
      <c r="A215" s="9"/>
      <c r="B215" s="42"/>
      <c r="C215" s="49"/>
    </row>
    <row r="216">
      <c r="A216" s="9"/>
      <c r="B216" s="42"/>
      <c r="C216" s="49"/>
    </row>
    <row r="217">
      <c r="A217" s="9"/>
      <c r="B217" s="42"/>
      <c r="C217" s="49"/>
    </row>
    <row r="218">
      <c r="A218" s="9"/>
      <c r="B218" s="42"/>
      <c r="C218" s="49"/>
    </row>
    <row r="219">
      <c r="A219" s="9"/>
      <c r="B219" s="42"/>
      <c r="C219" s="49"/>
    </row>
    <row r="220">
      <c r="A220" s="9"/>
      <c r="B220" s="42"/>
      <c r="C220" s="49"/>
    </row>
    <row r="221">
      <c r="A221" s="9"/>
      <c r="B221" s="42"/>
      <c r="C221" s="49"/>
    </row>
    <row r="222">
      <c r="A222" s="9"/>
      <c r="B222" s="42"/>
      <c r="C222" s="49"/>
    </row>
    <row r="223">
      <c r="A223" s="9"/>
      <c r="B223" s="42"/>
      <c r="C223" s="49"/>
    </row>
    <row r="224">
      <c r="A224" s="9"/>
      <c r="B224" s="42"/>
      <c r="C224" s="49"/>
    </row>
    <row r="225">
      <c r="A225" s="9"/>
      <c r="B225" s="42"/>
      <c r="C225" s="49"/>
    </row>
    <row r="226">
      <c r="A226" s="9"/>
      <c r="B226" s="42"/>
      <c r="C226" s="49"/>
    </row>
    <row r="227">
      <c r="A227" s="9"/>
      <c r="B227" s="42"/>
      <c r="C227" s="49"/>
    </row>
    <row r="228">
      <c r="A228" s="9"/>
      <c r="B228" s="42"/>
      <c r="C228" s="49"/>
    </row>
    <row r="229">
      <c r="A229" s="9"/>
      <c r="B229" s="42"/>
      <c r="C229" s="49"/>
    </row>
    <row r="230">
      <c r="A230" s="9"/>
      <c r="B230" s="42"/>
      <c r="C230" s="49"/>
    </row>
    <row r="231">
      <c r="A231" s="9"/>
      <c r="B231" s="42"/>
      <c r="C231" s="49"/>
    </row>
    <row r="232">
      <c r="A232" s="9"/>
      <c r="B232" s="42"/>
      <c r="C232" s="49"/>
    </row>
    <row r="233">
      <c r="A233" s="9"/>
      <c r="B233" s="42"/>
      <c r="C233" s="49"/>
    </row>
    <row r="234">
      <c r="A234" s="9"/>
      <c r="B234" s="42"/>
      <c r="C234" s="49"/>
    </row>
    <row r="235">
      <c r="A235" s="9"/>
      <c r="B235" s="42"/>
      <c r="C235" s="49"/>
    </row>
    <row r="236">
      <c r="A236" s="9"/>
      <c r="B236" s="42"/>
      <c r="C236" s="49"/>
    </row>
    <row r="237">
      <c r="A237" s="9"/>
      <c r="B237" s="42"/>
      <c r="C237" s="49"/>
    </row>
    <row r="238">
      <c r="A238" s="9"/>
      <c r="B238" s="42"/>
      <c r="C238" s="49"/>
    </row>
    <row r="239">
      <c r="A239" s="9"/>
      <c r="B239" s="42"/>
      <c r="C239" s="49"/>
    </row>
    <row r="240">
      <c r="A240" s="9"/>
      <c r="B240" s="42"/>
      <c r="C240" s="49"/>
    </row>
    <row r="241">
      <c r="A241" s="9"/>
      <c r="B241" s="42"/>
      <c r="C241" s="49"/>
    </row>
    <row r="242">
      <c r="A242" s="9"/>
      <c r="B242" s="42"/>
      <c r="C242" s="49"/>
    </row>
    <row r="243">
      <c r="A243" s="9"/>
      <c r="B243" s="42"/>
      <c r="C243" s="49"/>
    </row>
    <row r="244">
      <c r="A244" s="9"/>
      <c r="B244" s="42"/>
      <c r="C244" s="49"/>
    </row>
    <row r="245">
      <c r="A245" s="9"/>
      <c r="B245" s="42"/>
      <c r="C245" s="49"/>
    </row>
    <row r="246">
      <c r="A246" s="9"/>
      <c r="B246" s="42"/>
      <c r="C246" s="49"/>
    </row>
    <row r="247">
      <c r="A247" s="9"/>
      <c r="B247" s="42"/>
      <c r="C247" s="49"/>
    </row>
    <row r="248">
      <c r="A248" s="9"/>
      <c r="B248" s="42"/>
      <c r="C248" s="49"/>
    </row>
    <row r="249">
      <c r="A249" s="9"/>
      <c r="B249" s="42"/>
      <c r="C249" s="49"/>
    </row>
    <row r="250">
      <c r="A250" s="9"/>
      <c r="B250" s="42"/>
      <c r="C250" s="49"/>
    </row>
    <row r="251">
      <c r="A251" s="9"/>
      <c r="B251" s="42"/>
      <c r="C251" s="49"/>
    </row>
    <row r="252">
      <c r="A252" s="9"/>
      <c r="B252" s="42"/>
      <c r="C252" s="49"/>
    </row>
    <row r="253">
      <c r="A253" s="9"/>
      <c r="B253" s="42"/>
      <c r="C253" s="49"/>
    </row>
    <row r="254">
      <c r="A254" s="9"/>
      <c r="B254" s="42"/>
      <c r="C254" s="49"/>
    </row>
    <row r="255">
      <c r="A255" s="9"/>
      <c r="B255" s="42"/>
      <c r="C255" s="49"/>
    </row>
    <row r="256">
      <c r="A256" s="9"/>
      <c r="B256" s="42"/>
      <c r="C256" s="49"/>
    </row>
    <row r="257">
      <c r="A257" s="9"/>
      <c r="B257" s="42"/>
      <c r="C257" s="49"/>
    </row>
    <row r="258">
      <c r="A258" s="9"/>
      <c r="B258" s="42"/>
      <c r="C258" s="49"/>
    </row>
    <row r="259">
      <c r="A259" s="9"/>
      <c r="B259" s="42"/>
      <c r="C259" s="49"/>
    </row>
    <row r="260">
      <c r="A260" s="9"/>
      <c r="B260" s="42"/>
      <c r="C260" s="49"/>
    </row>
    <row r="261">
      <c r="A261" s="9"/>
      <c r="B261" s="42"/>
      <c r="C261" s="49"/>
    </row>
    <row r="262">
      <c r="A262" s="9"/>
      <c r="B262" s="42"/>
      <c r="C262" s="49"/>
    </row>
    <row r="263">
      <c r="A263" s="9"/>
      <c r="B263" s="42"/>
      <c r="C263" s="49"/>
    </row>
    <row r="264">
      <c r="A264" s="9"/>
      <c r="B264" s="42"/>
      <c r="C264" s="49"/>
    </row>
    <row r="265">
      <c r="A265" s="9"/>
      <c r="B265" s="42"/>
      <c r="C265" s="49"/>
    </row>
    <row r="266">
      <c r="A266" s="9"/>
      <c r="B266" s="42"/>
      <c r="C266" s="49"/>
    </row>
    <row r="267">
      <c r="A267" s="9"/>
      <c r="B267" s="42"/>
      <c r="C267" s="49"/>
    </row>
    <row r="268">
      <c r="A268" s="9"/>
      <c r="B268" s="42"/>
      <c r="C268" s="49"/>
    </row>
    <row r="269">
      <c r="A269" s="9"/>
      <c r="B269" s="42"/>
      <c r="C269" s="49"/>
    </row>
    <row r="270">
      <c r="A270" s="9"/>
      <c r="B270" s="42"/>
      <c r="C270" s="49"/>
    </row>
    <row r="271">
      <c r="A271" s="9"/>
      <c r="B271" s="42"/>
      <c r="C271" s="49"/>
    </row>
    <row r="272">
      <c r="A272" s="9"/>
      <c r="B272" s="42"/>
      <c r="C272" s="49"/>
    </row>
    <row r="273">
      <c r="A273" s="9"/>
      <c r="B273" s="42"/>
      <c r="C273" s="49"/>
    </row>
    <row r="274">
      <c r="A274" s="9"/>
      <c r="B274" s="42"/>
      <c r="C274" s="49"/>
    </row>
    <row r="275">
      <c r="A275" s="9"/>
      <c r="B275" s="42"/>
      <c r="C275" s="49"/>
    </row>
    <row r="276">
      <c r="A276" s="9"/>
      <c r="B276" s="42"/>
      <c r="C276" s="49"/>
    </row>
    <row r="277">
      <c r="A277" s="9"/>
      <c r="B277" s="42"/>
      <c r="C277" s="49"/>
    </row>
    <row r="278">
      <c r="A278" s="9"/>
      <c r="B278" s="42"/>
      <c r="C278" s="49"/>
    </row>
    <row r="279">
      <c r="A279" s="9"/>
      <c r="B279" s="42"/>
      <c r="C279" s="49"/>
    </row>
    <row r="280">
      <c r="A280" s="9"/>
      <c r="B280" s="42"/>
      <c r="C280" s="49"/>
    </row>
    <row r="281">
      <c r="A281" s="9"/>
      <c r="B281" s="42"/>
      <c r="C281" s="49"/>
    </row>
    <row r="282">
      <c r="A282" s="9"/>
      <c r="B282" s="42"/>
      <c r="C282" s="49"/>
    </row>
    <row r="283">
      <c r="A283" s="9"/>
      <c r="B283" s="42"/>
      <c r="C283" s="49"/>
    </row>
    <row r="284">
      <c r="A284" s="9"/>
      <c r="B284" s="42"/>
      <c r="C284" s="49"/>
    </row>
    <row r="285">
      <c r="A285" s="9"/>
      <c r="B285" s="42"/>
      <c r="C285" s="49"/>
    </row>
    <row r="286">
      <c r="A286" s="9"/>
      <c r="B286" s="42"/>
      <c r="C286" s="49"/>
    </row>
    <row r="287">
      <c r="A287" s="9"/>
      <c r="B287" s="42"/>
      <c r="C287" s="49"/>
    </row>
    <row r="288">
      <c r="A288" s="9"/>
      <c r="B288" s="42"/>
      <c r="C288" s="49"/>
    </row>
    <row r="289">
      <c r="A289" s="9"/>
      <c r="B289" s="42"/>
      <c r="C289" s="49"/>
    </row>
    <row r="290">
      <c r="A290" s="9"/>
      <c r="B290" s="42"/>
      <c r="C290" s="49"/>
    </row>
    <row r="291">
      <c r="A291" s="9"/>
      <c r="B291" s="42"/>
      <c r="C291" s="49"/>
    </row>
    <row r="292">
      <c r="A292" s="9"/>
      <c r="B292" s="42"/>
      <c r="C292" s="49"/>
    </row>
    <row r="293">
      <c r="A293" s="9"/>
      <c r="B293" s="42"/>
      <c r="C293" s="49"/>
    </row>
    <row r="294">
      <c r="A294" s="9"/>
      <c r="B294" s="42"/>
      <c r="C294" s="49"/>
    </row>
    <row r="295">
      <c r="A295" s="9"/>
      <c r="B295" s="42"/>
      <c r="C295" s="49"/>
    </row>
    <row r="296">
      <c r="A296" s="9"/>
      <c r="B296" s="42"/>
      <c r="C296" s="49"/>
    </row>
    <row r="297">
      <c r="A297" s="9"/>
      <c r="B297" s="42"/>
      <c r="C297" s="49"/>
    </row>
    <row r="298">
      <c r="A298" s="9"/>
      <c r="B298" s="42"/>
      <c r="C298" s="49"/>
    </row>
    <row r="299">
      <c r="A299" s="9"/>
      <c r="B299" s="42"/>
      <c r="C299" s="49"/>
    </row>
    <row r="300">
      <c r="A300" s="9"/>
      <c r="B300" s="42"/>
      <c r="C300" s="49"/>
    </row>
    <row r="301">
      <c r="A301" s="9"/>
      <c r="B301" s="42"/>
      <c r="C301" s="49"/>
    </row>
    <row r="302">
      <c r="A302" s="9"/>
      <c r="B302" s="42"/>
      <c r="C302" s="49"/>
    </row>
    <row r="303">
      <c r="A303" s="9"/>
      <c r="B303" s="42"/>
      <c r="C303" s="49"/>
    </row>
    <row r="304">
      <c r="A304" s="9"/>
      <c r="B304" s="42"/>
      <c r="C304" s="49"/>
    </row>
    <row r="305">
      <c r="A305" s="9"/>
      <c r="B305" s="42"/>
      <c r="C305" s="49"/>
    </row>
    <row r="306">
      <c r="A306" s="9"/>
      <c r="B306" s="42"/>
      <c r="C306" s="49"/>
    </row>
    <row r="307">
      <c r="A307" s="9"/>
      <c r="B307" s="42"/>
      <c r="C307" s="49"/>
    </row>
    <row r="308">
      <c r="A308" s="9"/>
      <c r="B308" s="42"/>
      <c r="C308" s="49"/>
    </row>
    <row r="309">
      <c r="A309" s="9"/>
      <c r="B309" s="42"/>
      <c r="C309" s="49"/>
    </row>
    <row r="310">
      <c r="A310" s="9"/>
      <c r="B310" s="42"/>
      <c r="C310" s="49"/>
    </row>
    <row r="311">
      <c r="A311" s="9"/>
      <c r="B311" s="42"/>
      <c r="C311" s="49"/>
    </row>
    <row r="312">
      <c r="A312" s="9"/>
      <c r="B312" s="42"/>
      <c r="C312" s="49"/>
    </row>
    <row r="313">
      <c r="A313" s="9"/>
      <c r="B313" s="42"/>
      <c r="C313" s="49"/>
    </row>
    <row r="314">
      <c r="A314" s="9"/>
      <c r="B314" s="42"/>
      <c r="C314" s="49"/>
    </row>
    <row r="315">
      <c r="A315" s="9"/>
      <c r="B315" s="42"/>
      <c r="C315" s="49"/>
    </row>
    <row r="316">
      <c r="A316" s="9"/>
      <c r="B316" s="42"/>
      <c r="C316" s="49"/>
    </row>
    <row r="317">
      <c r="A317" s="9"/>
      <c r="B317" s="42"/>
      <c r="C317" s="49"/>
    </row>
    <row r="318">
      <c r="A318" s="9"/>
      <c r="B318" s="42"/>
      <c r="C318" s="49"/>
    </row>
    <row r="319">
      <c r="A319" s="9"/>
      <c r="B319" s="42"/>
      <c r="C319" s="49"/>
    </row>
    <row r="320">
      <c r="A320" s="9"/>
      <c r="B320" s="42"/>
      <c r="C320" s="49"/>
    </row>
    <row r="321">
      <c r="A321" s="9"/>
      <c r="B321" s="42"/>
      <c r="C321" s="49"/>
    </row>
    <row r="322">
      <c r="A322" s="9"/>
      <c r="B322" s="42"/>
      <c r="C322" s="49"/>
    </row>
    <row r="323">
      <c r="A323" s="9"/>
      <c r="B323" s="42"/>
      <c r="C323" s="49"/>
    </row>
    <row r="324">
      <c r="A324" s="9"/>
      <c r="B324" s="42"/>
      <c r="C324" s="49"/>
    </row>
    <row r="325">
      <c r="A325" s="9"/>
      <c r="B325" s="42"/>
      <c r="C325" s="49"/>
    </row>
    <row r="326">
      <c r="A326" s="9"/>
      <c r="B326" s="42"/>
      <c r="C326" s="49"/>
    </row>
    <row r="327">
      <c r="A327" s="9"/>
      <c r="B327" s="42"/>
      <c r="C327" s="49"/>
    </row>
    <row r="328">
      <c r="A328" s="9"/>
      <c r="B328" s="42"/>
      <c r="C328" s="49"/>
    </row>
    <row r="329">
      <c r="A329" s="9"/>
      <c r="B329" s="42"/>
      <c r="C329" s="49"/>
    </row>
    <row r="330">
      <c r="A330" s="9"/>
      <c r="B330" s="42"/>
      <c r="C330" s="49"/>
    </row>
    <row r="331">
      <c r="A331" s="9"/>
      <c r="B331" s="42"/>
      <c r="C331" s="49"/>
    </row>
    <row r="332">
      <c r="A332" s="9"/>
      <c r="B332" s="42"/>
      <c r="C332" s="49"/>
    </row>
    <row r="333">
      <c r="A333" s="9"/>
      <c r="B333" s="42"/>
      <c r="C333" s="49"/>
    </row>
    <row r="334">
      <c r="A334" s="9"/>
      <c r="B334" s="42"/>
      <c r="C334" s="49"/>
    </row>
    <row r="335">
      <c r="A335" s="9"/>
      <c r="B335" s="42"/>
      <c r="C335" s="49"/>
    </row>
    <row r="336">
      <c r="A336" s="9"/>
      <c r="B336" s="42"/>
      <c r="C336" s="49"/>
    </row>
    <row r="337">
      <c r="A337" s="9"/>
      <c r="B337" s="42"/>
      <c r="C337" s="49"/>
    </row>
    <row r="338">
      <c r="A338" s="9"/>
      <c r="B338" s="42"/>
      <c r="C338" s="49"/>
    </row>
    <row r="339">
      <c r="A339" s="9"/>
      <c r="B339" s="42"/>
      <c r="C339" s="49"/>
    </row>
    <row r="340">
      <c r="A340" s="9"/>
      <c r="B340" s="42"/>
      <c r="C340" s="49"/>
    </row>
    <row r="341">
      <c r="A341" s="9"/>
      <c r="B341" s="42"/>
      <c r="C341" s="49"/>
    </row>
    <row r="342">
      <c r="A342" s="9"/>
      <c r="B342" s="42"/>
      <c r="C342" s="49"/>
    </row>
    <row r="343">
      <c r="A343" s="9"/>
      <c r="B343" s="42"/>
      <c r="C343" s="49"/>
    </row>
    <row r="344">
      <c r="A344" s="9"/>
      <c r="B344" s="42"/>
      <c r="C344" s="49"/>
    </row>
    <row r="345">
      <c r="A345" s="9"/>
      <c r="B345" s="42"/>
      <c r="C345" s="49"/>
    </row>
    <row r="346">
      <c r="A346" s="9"/>
      <c r="B346" s="42"/>
      <c r="C346" s="49"/>
    </row>
    <row r="347">
      <c r="A347" s="9"/>
      <c r="B347" s="42"/>
      <c r="C347" s="49"/>
    </row>
    <row r="348">
      <c r="A348" s="9"/>
      <c r="B348" s="42"/>
      <c r="C348" s="49"/>
    </row>
    <row r="349">
      <c r="A349" s="9"/>
      <c r="B349" s="42"/>
      <c r="C349" s="49"/>
    </row>
    <row r="350">
      <c r="A350" s="9"/>
      <c r="B350" s="42"/>
      <c r="C350" s="49"/>
    </row>
    <row r="351">
      <c r="A351" s="9"/>
      <c r="B351" s="42"/>
      <c r="C351" s="49"/>
    </row>
    <row r="352">
      <c r="A352" s="9"/>
      <c r="B352" s="42"/>
      <c r="C352" s="49"/>
    </row>
    <row r="353">
      <c r="A353" s="9"/>
      <c r="B353" s="42"/>
      <c r="C353" s="49"/>
    </row>
    <row r="354">
      <c r="A354" s="9"/>
      <c r="B354" s="42"/>
      <c r="C354" s="49"/>
    </row>
    <row r="355">
      <c r="A355" s="9"/>
      <c r="B355" s="42"/>
      <c r="C355" s="49"/>
    </row>
    <row r="356">
      <c r="A356" s="9"/>
      <c r="B356" s="42"/>
      <c r="C356" s="49"/>
    </row>
    <row r="357">
      <c r="A357" s="9"/>
      <c r="B357" s="42"/>
      <c r="C357" s="49"/>
    </row>
    <row r="358">
      <c r="A358" s="9"/>
      <c r="B358" s="42"/>
      <c r="C358" s="49"/>
    </row>
    <row r="359">
      <c r="A359" s="9"/>
      <c r="B359" s="42"/>
      <c r="C359" s="49"/>
    </row>
    <row r="360">
      <c r="A360" s="9"/>
      <c r="B360" s="42"/>
      <c r="C360" s="49"/>
    </row>
    <row r="361">
      <c r="A361" s="9"/>
      <c r="B361" s="42"/>
      <c r="C361" s="49"/>
    </row>
    <row r="362">
      <c r="A362" s="9"/>
      <c r="B362" s="42"/>
      <c r="C362" s="49"/>
    </row>
    <row r="363">
      <c r="A363" s="9"/>
      <c r="B363" s="42"/>
      <c r="C363" s="49"/>
    </row>
    <row r="364">
      <c r="A364" s="9"/>
      <c r="B364" s="42"/>
      <c r="C364" s="49"/>
    </row>
    <row r="365">
      <c r="A365" s="9"/>
      <c r="B365" s="42"/>
      <c r="C365" s="49"/>
    </row>
    <row r="366">
      <c r="A366" s="9"/>
      <c r="B366" s="42"/>
      <c r="C366" s="49"/>
    </row>
    <row r="367">
      <c r="A367" s="9"/>
      <c r="B367" s="42"/>
      <c r="C367" s="49"/>
    </row>
    <row r="368">
      <c r="A368" s="9"/>
      <c r="B368" s="42"/>
      <c r="C368" s="49"/>
    </row>
    <row r="369">
      <c r="A369" s="9"/>
      <c r="B369" s="42"/>
      <c r="C369" s="49"/>
    </row>
    <row r="370">
      <c r="A370" s="9"/>
      <c r="B370" s="42"/>
      <c r="C370" s="49"/>
    </row>
    <row r="371">
      <c r="A371" s="9"/>
      <c r="B371" s="42"/>
      <c r="C371" s="49"/>
    </row>
    <row r="372">
      <c r="A372" s="9"/>
      <c r="B372" s="42"/>
      <c r="C372" s="49"/>
    </row>
    <row r="373">
      <c r="A373" s="9"/>
      <c r="B373" s="42"/>
      <c r="C373" s="49"/>
    </row>
    <row r="374">
      <c r="A374" s="9"/>
      <c r="B374" s="42"/>
      <c r="C374" s="49"/>
    </row>
    <row r="375">
      <c r="A375" s="9"/>
      <c r="B375" s="42"/>
      <c r="C375" s="49"/>
    </row>
    <row r="376">
      <c r="A376" s="9"/>
      <c r="B376" s="42"/>
      <c r="C376" s="49"/>
    </row>
    <row r="377">
      <c r="A377" s="9"/>
      <c r="B377" s="42"/>
      <c r="C377" s="49"/>
    </row>
    <row r="378">
      <c r="A378" s="9"/>
      <c r="B378" s="42"/>
      <c r="C378" s="49"/>
    </row>
    <row r="379">
      <c r="A379" s="9"/>
      <c r="B379" s="42"/>
      <c r="C379" s="49"/>
    </row>
    <row r="380">
      <c r="A380" s="9"/>
      <c r="B380" s="42"/>
      <c r="C380" s="49"/>
    </row>
    <row r="381">
      <c r="A381" s="9"/>
      <c r="B381" s="42"/>
      <c r="C381" s="49"/>
    </row>
    <row r="382">
      <c r="A382" s="9"/>
      <c r="B382" s="42"/>
      <c r="C382" s="49"/>
    </row>
    <row r="383">
      <c r="A383" s="9"/>
      <c r="B383" s="42"/>
      <c r="C383" s="49"/>
    </row>
    <row r="384">
      <c r="A384" s="9"/>
      <c r="B384" s="42"/>
      <c r="C384" s="49"/>
    </row>
    <row r="385">
      <c r="A385" s="9"/>
      <c r="B385" s="42"/>
      <c r="C385" s="49"/>
    </row>
    <row r="386">
      <c r="A386" s="9"/>
      <c r="B386" s="42"/>
      <c r="C386" s="49"/>
    </row>
    <row r="387">
      <c r="A387" s="9"/>
      <c r="B387" s="42"/>
      <c r="C387" s="49"/>
    </row>
    <row r="388">
      <c r="A388" s="9"/>
      <c r="B388" s="42"/>
      <c r="C388" s="49"/>
    </row>
    <row r="389">
      <c r="A389" s="9"/>
      <c r="B389" s="42"/>
      <c r="C389" s="49"/>
    </row>
    <row r="390">
      <c r="A390" s="9"/>
      <c r="B390" s="42"/>
      <c r="C390" s="49"/>
    </row>
    <row r="391">
      <c r="A391" s="9"/>
      <c r="B391" s="42"/>
      <c r="C391" s="49"/>
    </row>
    <row r="392">
      <c r="A392" s="9"/>
      <c r="B392" s="42"/>
      <c r="C392" s="49"/>
    </row>
    <row r="393">
      <c r="A393" s="9"/>
      <c r="B393" s="42"/>
      <c r="C393" s="49"/>
    </row>
    <row r="394">
      <c r="A394" s="9"/>
      <c r="B394" s="42"/>
      <c r="C394" s="49"/>
    </row>
    <row r="395">
      <c r="A395" s="9"/>
      <c r="B395" s="42"/>
      <c r="C395" s="49"/>
    </row>
    <row r="396">
      <c r="A396" s="9"/>
      <c r="B396" s="42"/>
      <c r="C396" s="49"/>
    </row>
    <row r="397">
      <c r="A397" s="9"/>
      <c r="B397" s="42"/>
      <c r="C397" s="49"/>
    </row>
    <row r="398">
      <c r="A398" s="9"/>
      <c r="B398" s="42"/>
      <c r="C398" s="49"/>
    </row>
    <row r="399">
      <c r="A399" s="9"/>
      <c r="B399" s="42"/>
      <c r="C399" s="49"/>
    </row>
    <row r="400">
      <c r="A400" s="9"/>
      <c r="B400" s="42"/>
      <c r="C400" s="49"/>
    </row>
    <row r="401">
      <c r="A401" s="9"/>
      <c r="B401" s="42"/>
      <c r="C401" s="49"/>
    </row>
    <row r="402">
      <c r="A402" s="9"/>
      <c r="B402" s="42"/>
      <c r="C402" s="49"/>
    </row>
    <row r="403">
      <c r="A403" s="9"/>
      <c r="B403" s="42"/>
      <c r="C403" s="49"/>
    </row>
    <row r="404">
      <c r="A404" s="9"/>
      <c r="B404" s="42"/>
      <c r="C404" s="49"/>
    </row>
    <row r="405">
      <c r="A405" s="9"/>
      <c r="B405" s="42"/>
      <c r="C405" s="49"/>
    </row>
    <row r="406">
      <c r="A406" s="9"/>
      <c r="B406" s="42"/>
      <c r="C406" s="49"/>
    </row>
    <row r="407">
      <c r="A407" s="9"/>
      <c r="B407" s="42"/>
      <c r="C407" s="49"/>
    </row>
    <row r="408">
      <c r="A408" s="9"/>
      <c r="B408" s="42"/>
      <c r="C408" s="49"/>
    </row>
    <row r="409">
      <c r="A409" s="9"/>
      <c r="B409" s="42"/>
      <c r="C409" s="49"/>
    </row>
    <row r="410">
      <c r="A410" s="9"/>
      <c r="B410" s="42"/>
      <c r="C410" s="49"/>
    </row>
    <row r="411">
      <c r="A411" s="9"/>
      <c r="B411" s="42"/>
      <c r="C411" s="49"/>
    </row>
    <row r="412">
      <c r="A412" s="9"/>
      <c r="B412" s="42"/>
      <c r="C412" s="49"/>
    </row>
    <row r="413">
      <c r="A413" s="9"/>
      <c r="B413" s="42"/>
      <c r="C413" s="49"/>
    </row>
    <row r="414">
      <c r="A414" s="9"/>
      <c r="B414" s="42"/>
      <c r="C414" s="49"/>
    </row>
    <row r="415">
      <c r="A415" s="9"/>
      <c r="B415" s="42"/>
      <c r="C415" s="49"/>
    </row>
    <row r="416">
      <c r="A416" s="9"/>
      <c r="B416" s="42"/>
      <c r="C416" s="49"/>
    </row>
    <row r="417">
      <c r="A417" s="9"/>
      <c r="B417" s="42"/>
      <c r="C417" s="49"/>
    </row>
    <row r="418">
      <c r="A418" s="9"/>
      <c r="B418" s="42"/>
      <c r="C418" s="49"/>
    </row>
    <row r="419">
      <c r="A419" s="9"/>
      <c r="B419" s="42"/>
      <c r="C419" s="49"/>
    </row>
    <row r="420">
      <c r="A420" s="9"/>
      <c r="B420" s="42"/>
      <c r="C420" s="49"/>
    </row>
    <row r="421">
      <c r="A421" s="9"/>
      <c r="B421" s="42"/>
      <c r="C421" s="49"/>
    </row>
    <row r="422">
      <c r="A422" s="9"/>
      <c r="B422" s="42"/>
      <c r="C422" s="49"/>
    </row>
    <row r="423">
      <c r="A423" s="9"/>
      <c r="B423" s="42"/>
      <c r="C423" s="49"/>
    </row>
    <row r="424">
      <c r="A424" s="9"/>
      <c r="B424" s="42"/>
      <c r="C424" s="49"/>
    </row>
    <row r="425">
      <c r="A425" s="9"/>
      <c r="B425" s="42"/>
      <c r="C425" s="49"/>
    </row>
    <row r="426">
      <c r="A426" s="9"/>
      <c r="B426" s="42"/>
      <c r="C426" s="49"/>
    </row>
    <row r="427">
      <c r="A427" s="9"/>
      <c r="B427" s="42"/>
      <c r="C427" s="49"/>
    </row>
    <row r="428">
      <c r="A428" s="9"/>
      <c r="B428" s="42"/>
      <c r="C428" s="49"/>
    </row>
    <row r="429">
      <c r="A429" s="9"/>
      <c r="B429" s="42"/>
      <c r="C429" s="49"/>
    </row>
    <row r="430">
      <c r="A430" s="9"/>
      <c r="B430" s="42"/>
      <c r="C430" s="49"/>
    </row>
    <row r="431">
      <c r="A431" s="9"/>
      <c r="B431" s="42"/>
      <c r="C431" s="49"/>
    </row>
    <row r="432">
      <c r="A432" s="9"/>
      <c r="B432" s="42"/>
      <c r="C432" s="49"/>
    </row>
    <row r="433">
      <c r="A433" s="9"/>
      <c r="B433" s="42"/>
      <c r="C433" s="49"/>
    </row>
    <row r="434">
      <c r="A434" s="9"/>
      <c r="B434" s="42"/>
      <c r="C434" s="49"/>
    </row>
    <row r="435">
      <c r="A435" s="9"/>
      <c r="B435" s="42"/>
      <c r="C435" s="49"/>
    </row>
    <row r="436">
      <c r="A436" s="9"/>
      <c r="B436" s="42"/>
      <c r="C436" s="49"/>
    </row>
    <row r="437">
      <c r="A437" s="9"/>
      <c r="B437" s="42"/>
      <c r="C437" s="49"/>
    </row>
    <row r="438">
      <c r="A438" s="9"/>
      <c r="B438" s="42"/>
      <c r="C438" s="49"/>
    </row>
    <row r="439">
      <c r="A439" s="9"/>
      <c r="B439" s="42"/>
      <c r="C439" s="49"/>
    </row>
    <row r="440">
      <c r="A440" s="9"/>
      <c r="B440" s="42"/>
      <c r="C440" s="49"/>
    </row>
    <row r="441">
      <c r="A441" s="9"/>
      <c r="B441" s="42"/>
      <c r="C441" s="49"/>
    </row>
    <row r="442">
      <c r="A442" s="9"/>
      <c r="B442" s="42"/>
      <c r="C442" s="49"/>
    </row>
    <row r="443">
      <c r="A443" s="9"/>
      <c r="B443" s="42"/>
      <c r="C443" s="49"/>
    </row>
    <row r="444">
      <c r="A444" s="9"/>
      <c r="B444" s="42"/>
      <c r="C444" s="49"/>
    </row>
    <row r="445">
      <c r="A445" s="9"/>
      <c r="B445" s="42"/>
      <c r="C445" s="49"/>
    </row>
    <row r="446">
      <c r="A446" s="9"/>
      <c r="B446" s="42"/>
      <c r="C446" s="49"/>
    </row>
    <row r="447">
      <c r="A447" s="9"/>
      <c r="B447" s="42"/>
      <c r="C447" s="49"/>
    </row>
    <row r="448">
      <c r="A448" s="9"/>
      <c r="B448" s="42"/>
      <c r="C448" s="49"/>
    </row>
    <row r="449">
      <c r="A449" s="9"/>
      <c r="B449" s="42"/>
      <c r="C449" s="49"/>
    </row>
    <row r="450">
      <c r="A450" s="9"/>
      <c r="B450" s="42"/>
      <c r="C450" s="49"/>
    </row>
    <row r="451">
      <c r="A451" s="9"/>
      <c r="B451" s="42"/>
      <c r="C451" s="49"/>
    </row>
    <row r="452">
      <c r="A452" s="9"/>
      <c r="B452" s="42"/>
      <c r="C452" s="49"/>
    </row>
    <row r="453">
      <c r="A453" s="9"/>
      <c r="B453" s="42"/>
      <c r="C453" s="49"/>
    </row>
    <row r="454">
      <c r="A454" s="9"/>
      <c r="B454" s="42"/>
      <c r="C454" s="49"/>
    </row>
    <row r="455">
      <c r="A455" s="9"/>
      <c r="B455" s="42"/>
      <c r="C455" s="49"/>
    </row>
    <row r="456">
      <c r="A456" s="9"/>
      <c r="B456" s="42"/>
      <c r="C456" s="49"/>
    </row>
    <row r="457">
      <c r="A457" s="9"/>
      <c r="B457" s="42"/>
      <c r="C457" s="49"/>
    </row>
    <row r="458">
      <c r="A458" s="9"/>
      <c r="B458" s="42"/>
      <c r="C458" s="49"/>
    </row>
    <row r="459">
      <c r="A459" s="9"/>
      <c r="B459" s="42"/>
      <c r="C459" s="49"/>
    </row>
    <row r="460">
      <c r="A460" s="9"/>
      <c r="B460" s="42"/>
      <c r="C460" s="49"/>
    </row>
    <row r="461">
      <c r="A461" s="9"/>
      <c r="B461" s="42"/>
      <c r="C461" s="49"/>
    </row>
    <row r="462">
      <c r="A462" s="9"/>
      <c r="B462" s="42"/>
      <c r="C462" s="49"/>
    </row>
    <row r="463">
      <c r="A463" s="9"/>
      <c r="B463" s="42"/>
      <c r="C463" s="49"/>
    </row>
    <row r="464">
      <c r="A464" s="9"/>
      <c r="B464" s="42"/>
      <c r="C464" s="49"/>
    </row>
    <row r="465">
      <c r="A465" s="9"/>
      <c r="B465" s="42"/>
      <c r="C465" s="49"/>
    </row>
    <row r="466">
      <c r="A466" s="9"/>
      <c r="B466" s="42"/>
      <c r="C466" s="49"/>
    </row>
    <row r="467">
      <c r="A467" s="9"/>
      <c r="B467" s="42"/>
      <c r="C467" s="49"/>
    </row>
    <row r="468">
      <c r="A468" s="9"/>
      <c r="B468" s="42"/>
      <c r="C468" s="49"/>
    </row>
    <row r="469">
      <c r="A469" s="9"/>
      <c r="B469" s="42"/>
      <c r="C469" s="49"/>
    </row>
    <row r="470">
      <c r="A470" s="9"/>
      <c r="B470" s="42"/>
      <c r="C470" s="49"/>
    </row>
    <row r="471">
      <c r="A471" s="9"/>
      <c r="B471" s="42"/>
      <c r="C471" s="49"/>
    </row>
    <row r="472">
      <c r="A472" s="9"/>
      <c r="B472" s="42"/>
      <c r="C472" s="49"/>
    </row>
    <row r="473">
      <c r="A473" s="9"/>
      <c r="B473" s="42"/>
      <c r="C473" s="49"/>
    </row>
    <row r="474">
      <c r="A474" s="9"/>
      <c r="B474" s="42"/>
      <c r="C474" s="49"/>
    </row>
    <row r="475">
      <c r="A475" s="9"/>
      <c r="B475" s="42"/>
      <c r="C475" s="49"/>
    </row>
    <row r="476">
      <c r="A476" s="9"/>
      <c r="B476" s="42"/>
      <c r="C476" s="49"/>
    </row>
    <row r="477">
      <c r="A477" s="9"/>
      <c r="B477" s="42"/>
      <c r="C477" s="49"/>
    </row>
    <row r="478">
      <c r="A478" s="9"/>
      <c r="B478" s="42"/>
      <c r="C478" s="49"/>
    </row>
    <row r="479">
      <c r="A479" s="9"/>
      <c r="B479" s="42"/>
      <c r="C479" s="49"/>
    </row>
    <row r="480">
      <c r="A480" s="9"/>
      <c r="B480" s="42"/>
      <c r="C480" s="49"/>
    </row>
    <row r="481">
      <c r="A481" s="9"/>
      <c r="B481" s="42"/>
      <c r="C481" s="49"/>
    </row>
    <row r="482">
      <c r="A482" s="9"/>
      <c r="B482" s="42"/>
      <c r="C482" s="49"/>
    </row>
    <row r="483">
      <c r="A483" s="9"/>
      <c r="B483" s="42"/>
      <c r="C483" s="49"/>
    </row>
    <row r="484">
      <c r="A484" s="9"/>
      <c r="B484" s="42"/>
      <c r="C484" s="49"/>
    </row>
    <row r="485">
      <c r="A485" s="9"/>
      <c r="B485" s="42"/>
      <c r="C485" s="49"/>
    </row>
    <row r="486">
      <c r="A486" s="9"/>
      <c r="B486" s="42"/>
      <c r="C486" s="49"/>
    </row>
    <row r="487">
      <c r="A487" s="9"/>
      <c r="B487" s="42"/>
      <c r="C487" s="49"/>
    </row>
    <row r="488">
      <c r="A488" s="9"/>
      <c r="B488" s="42"/>
      <c r="C488" s="49"/>
    </row>
    <row r="489">
      <c r="A489" s="9"/>
      <c r="B489" s="42"/>
      <c r="C489" s="49"/>
    </row>
    <row r="490">
      <c r="A490" s="9"/>
      <c r="B490" s="42"/>
      <c r="C490" s="49"/>
    </row>
    <row r="491">
      <c r="A491" s="9"/>
      <c r="B491" s="42"/>
      <c r="C491" s="49"/>
    </row>
    <row r="492">
      <c r="A492" s="9"/>
      <c r="B492" s="42"/>
      <c r="C492" s="49"/>
    </row>
    <row r="493">
      <c r="A493" s="9"/>
      <c r="B493" s="42"/>
      <c r="C493" s="49"/>
    </row>
    <row r="494">
      <c r="A494" s="9"/>
      <c r="B494" s="42"/>
      <c r="C494" s="49"/>
    </row>
    <row r="495">
      <c r="A495" s="9"/>
      <c r="B495" s="42"/>
      <c r="C495" s="49"/>
    </row>
    <row r="496">
      <c r="A496" s="9"/>
      <c r="B496" s="42"/>
      <c r="C496" s="49"/>
    </row>
    <row r="497">
      <c r="A497" s="9"/>
      <c r="B497" s="42"/>
      <c r="C497" s="49"/>
    </row>
    <row r="498">
      <c r="A498" s="9"/>
      <c r="B498" s="42"/>
      <c r="C498" s="49"/>
    </row>
    <row r="499">
      <c r="A499" s="9"/>
      <c r="B499" s="42"/>
      <c r="C499" s="49"/>
    </row>
    <row r="500">
      <c r="A500" s="9"/>
      <c r="B500" s="42"/>
      <c r="C500" s="49"/>
    </row>
    <row r="501">
      <c r="A501" s="9"/>
      <c r="B501" s="42"/>
      <c r="C501" s="49"/>
    </row>
    <row r="502">
      <c r="A502" s="9"/>
      <c r="B502" s="42"/>
      <c r="C502" s="49"/>
    </row>
    <row r="503">
      <c r="A503" s="9"/>
      <c r="B503" s="42"/>
      <c r="C503" s="49"/>
    </row>
    <row r="504">
      <c r="A504" s="9"/>
      <c r="B504" s="42"/>
      <c r="C504" s="49"/>
    </row>
    <row r="505">
      <c r="A505" s="9"/>
      <c r="B505" s="42"/>
      <c r="C505" s="49"/>
    </row>
    <row r="506">
      <c r="A506" s="9"/>
      <c r="B506" s="42"/>
      <c r="C506" s="49"/>
    </row>
    <row r="507">
      <c r="A507" s="9"/>
      <c r="B507" s="42"/>
      <c r="C507" s="49"/>
    </row>
    <row r="508">
      <c r="A508" s="9"/>
      <c r="B508" s="42"/>
      <c r="C508" s="49"/>
    </row>
    <row r="509">
      <c r="A509" s="9"/>
      <c r="B509" s="42"/>
      <c r="C509" s="49"/>
    </row>
    <row r="510">
      <c r="A510" s="9"/>
      <c r="B510" s="42"/>
      <c r="C510" s="49"/>
    </row>
    <row r="511">
      <c r="A511" s="9"/>
      <c r="B511" s="42"/>
      <c r="C511" s="49"/>
    </row>
    <row r="512">
      <c r="A512" s="9"/>
      <c r="B512" s="42"/>
      <c r="C512" s="49"/>
    </row>
    <row r="513">
      <c r="A513" s="9"/>
      <c r="B513" s="42"/>
      <c r="C513" s="49"/>
    </row>
    <row r="514">
      <c r="A514" s="9"/>
      <c r="B514" s="42"/>
      <c r="C514" s="49"/>
    </row>
    <row r="515">
      <c r="A515" s="9"/>
      <c r="B515" s="42"/>
      <c r="C515" s="49"/>
    </row>
    <row r="516">
      <c r="A516" s="9"/>
      <c r="B516" s="42"/>
      <c r="C516" s="49"/>
    </row>
    <row r="517">
      <c r="A517" s="9"/>
      <c r="B517" s="42"/>
      <c r="C517" s="49"/>
    </row>
    <row r="518">
      <c r="A518" s="9"/>
      <c r="B518" s="42"/>
      <c r="C518" s="49"/>
    </row>
    <row r="519">
      <c r="A519" s="9"/>
      <c r="B519" s="42"/>
      <c r="C519" s="49"/>
    </row>
    <row r="520">
      <c r="A520" s="9"/>
      <c r="B520" s="42"/>
      <c r="C520" s="49"/>
    </row>
    <row r="521">
      <c r="A521" s="9"/>
      <c r="B521" s="42"/>
      <c r="C521" s="49"/>
    </row>
    <row r="522">
      <c r="A522" s="9"/>
      <c r="B522" s="42"/>
      <c r="C522" s="49"/>
    </row>
    <row r="523">
      <c r="A523" s="9"/>
      <c r="B523" s="42"/>
      <c r="C523" s="49"/>
    </row>
    <row r="524">
      <c r="A524" s="9"/>
      <c r="B524" s="42"/>
      <c r="C524" s="49"/>
    </row>
    <row r="525">
      <c r="A525" s="9"/>
      <c r="B525" s="42"/>
      <c r="C525" s="49"/>
    </row>
    <row r="526">
      <c r="A526" s="9"/>
      <c r="B526" s="42"/>
      <c r="C526" s="49"/>
    </row>
    <row r="527">
      <c r="A527" s="9"/>
      <c r="B527" s="42"/>
      <c r="C527" s="49"/>
    </row>
    <row r="528">
      <c r="A528" s="9"/>
      <c r="B528" s="42"/>
      <c r="C528" s="49"/>
    </row>
    <row r="529">
      <c r="A529" s="9"/>
      <c r="B529" s="42"/>
      <c r="C529" s="49"/>
    </row>
    <row r="530">
      <c r="A530" s="9"/>
      <c r="B530" s="42"/>
      <c r="C530" s="49"/>
    </row>
    <row r="531">
      <c r="A531" s="9"/>
      <c r="B531" s="42"/>
      <c r="C531" s="49"/>
    </row>
    <row r="532">
      <c r="A532" s="9"/>
      <c r="B532" s="42"/>
      <c r="C532" s="49"/>
    </row>
    <row r="533">
      <c r="A533" s="9"/>
      <c r="B533" s="42"/>
      <c r="C533" s="49"/>
    </row>
    <row r="534">
      <c r="A534" s="9"/>
      <c r="B534" s="42"/>
      <c r="C534" s="49"/>
    </row>
    <row r="535">
      <c r="A535" s="9"/>
      <c r="B535" s="42"/>
      <c r="C535" s="49"/>
    </row>
    <row r="536">
      <c r="A536" s="9"/>
      <c r="B536" s="42"/>
      <c r="C536" s="49"/>
    </row>
    <row r="537">
      <c r="A537" s="9"/>
      <c r="B537" s="42"/>
      <c r="C537" s="49"/>
    </row>
    <row r="538">
      <c r="A538" s="9"/>
      <c r="B538" s="42"/>
      <c r="C538" s="49"/>
    </row>
    <row r="539">
      <c r="A539" s="9"/>
      <c r="B539" s="42"/>
      <c r="C539" s="49"/>
    </row>
    <row r="540">
      <c r="A540" s="9"/>
      <c r="B540" s="42"/>
      <c r="C540" s="49"/>
    </row>
    <row r="541">
      <c r="A541" s="9"/>
      <c r="B541" s="42"/>
      <c r="C541" s="49"/>
    </row>
    <row r="542">
      <c r="A542" s="9"/>
      <c r="B542" s="42"/>
      <c r="C542" s="49"/>
    </row>
    <row r="543">
      <c r="A543" s="9"/>
      <c r="B543" s="42"/>
      <c r="C543" s="49"/>
    </row>
    <row r="544">
      <c r="A544" s="9"/>
      <c r="B544" s="42"/>
      <c r="C544" s="49"/>
    </row>
    <row r="545">
      <c r="A545" s="9"/>
      <c r="B545" s="42"/>
      <c r="C545" s="49"/>
    </row>
    <row r="546">
      <c r="A546" s="9"/>
      <c r="B546" s="42"/>
      <c r="C546" s="49"/>
    </row>
    <row r="547">
      <c r="A547" s="9"/>
      <c r="B547" s="42"/>
      <c r="C547" s="49"/>
    </row>
    <row r="548">
      <c r="A548" s="9"/>
      <c r="B548" s="42"/>
      <c r="C548" s="49"/>
    </row>
    <row r="549">
      <c r="A549" s="9"/>
      <c r="B549" s="42"/>
      <c r="C549" s="49"/>
    </row>
    <row r="550">
      <c r="A550" s="9"/>
      <c r="B550" s="42"/>
      <c r="C550" s="49"/>
    </row>
    <row r="551">
      <c r="A551" s="9"/>
      <c r="B551" s="42"/>
      <c r="C551" s="49"/>
    </row>
    <row r="552">
      <c r="A552" s="9"/>
      <c r="B552" s="42"/>
      <c r="C552" s="49"/>
    </row>
    <row r="553">
      <c r="A553" s="9"/>
      <c r="B553" s="42"/>
      <c r="C553" s="49"/>
    </row>
    <row r="554">
      <c r="A554" s="9"/>
      <c r="B554" s="42"/>
      <c r="C554" s="49"/>
    </row>
    <row r="555">
      <c r="A555" s="9"/>
      <c r="B555" s="42"/>
      <c r="C555" s="49"/>
    </row>
    <row r="556">
      <c r="A556" s="9"/>
      <c r="B556" s="42"/>
      <c r="C556" s="49"/>
    </row>
    <row r="557">
      <c r="A557" s="9"/>
      <c r="B557" s="42"/>
      <c r="C557" s="49"/>
    </row>
    <row r="558">
      <c r="A558" s="9"/>
      <c r="B558" s="42"/>
      <c r="C558" s="49"/>
    </row>
    <row r="559">
      <c r="A559" s="9"/>
      <c r="B559" s="42"/>
      <c r="C559" s="49"/>
    </row>
    <row r="560">
      <c r="A560" s="9"/>
      <c r="B560" s="42"/>
      <c r="C560" s="49"/>
    </row>
    <row r="561">
      <c r="A561" s="9"/>
      <c r="B561" s="42"/>
      <c r="C561" s="49"/>
    </row>
    <row r="562">
      <c r="A562" s="9"/>
      <c r="B562" s="42"/>
      <c r="C562" s="49"/>
    </row>
    <row r="563">
      <c r="A563" s="9"/>
      <c r="B563" s="42"/>
      <c r="C563" s="49"/>
    </row>
    <row r="564">
      <c r="A564" s="9"/>
      <c r="B564" s="42"/>
      <c r="C564" s="49"/>
    </row>
    <row r="565">
      <c r="A565" s="9"/>
      <c r="B565" s="42"/>
      <c r="C565" s="49"/>
    </row>
    <row r="566">
      <c r="A566" s="9"/>
      <c r="B566" s="42"/>
      <c r="C566" s="49"/>
    </row>
    <row r="567">
      <c r="A567" s="9"/>
      <c r="B567" s="42"/>
      <c r="C567" s="49"/>
    </row>
    <row r="568">
      <c r="A568" s="9"/>
      <c r="B568" s="42"/>
      <c r="C568" s="49"/>
    </row>
    <row r="569">
      <c r="A569" s="9"/>
      <c r="B569" s="42"/>
      <c r="C569" s="49"/>
    </row>
    <row r="570">
      <c r="A570" s="9"/>
      <c r="B570" s="42"/>
      <c r="C570" s="49"/>
    </row>
    <row r="571">
      <c r="A571" s="9"/>
      <c r="B571" s="42"/>
      <c r="C571" s="49"/>
    </row>
    <row r="572">
      <c r="A572" s="9"/>
      <c r="B572" s="42"/>
      <c r="C572" s="49"/>
    </row>
    <row r="573">
      <c r="A573" s="9"/>
      <c r="B573" s="42"/>
      <c r="C573" s="49"/>
    </row>
    <row r="574">
      <c r="A574" s="9"/>
      <c r="B574" s="42"/>
      <c r="C574" s="49"/>
    </row>
    <row r="575">
      <c r="A575" s="9"/>
      <c r="B575" s="42"/>
      <c r="C575" s="49"/>
    </row>
    <row r="576">
      <c r="A576" s="9"/>
      <c r="B576" s="42"/>
      <c r="C576" s="49"/>
    </row>
    <row r="577">
      <c r="A577" s="9"/>
      <c r="B577" s="42"/>
      <c r="C577" s="49"/>
    </row>
    <row r="578">
      <c r="A578" s="9"/>
      <c r="B578" s="42"/>
      <c r="C578" s="49"/>
    </row>
    <row r="579">
      <c r="A579" s="9"/>
      <c r="B579" s="42"/>
      <c r="C579" s="49"/>
    </row>
    <row r="580">
      <c r="A580" s="9"/>
      <c r="B580" s="42"/>
      <c r="C580" s="49"/>
    </row>
    <row r="581">
      <c r="A581" s="9"/>
      <c r="B581" s="42"/>
      <c r="C581" s="49"/>
    </row>
    <row r="582">
      <c r="A582" s="9"/>
      <c r="B582" s="42"/>
      <c r="C582" s="49"/>
    </row>
    <row r="583">
      <c r="A583" s="9"/>
      <c r="B583" s="42"/>
      <c r="C583" s="49"/>
    </row>
    <row r="584">
      <c r="A584" s="9"/>
      <c r="B584" s="42"/>
      <c r="C584" s="49"/>
    </row>
    <row r="585">
      <c r="A585" s="9"/>
      <c r="B585" s="42"/>
      <c r="C585" s="49"/>
    </row>
    <row r="586">
      <c r="A586" s="9"/>
      <c r="B586" s="42"/>
      <c r="C586" s="49"/>
    </row>
    <row r="587">
      <c r="A587" s="9"/>
      <c r="B587" s="42"/>
      <c r="C587" s="49"/>
    </row>
    <row r="588">
      <c r="A588" s="9"/>
      <c r="B588" s="42"/>
      <c r="C588" s="49"/>
    </row>
    <row r="589">
      <c r="A589" s="9"/>
      <c r="B589" s="42"/>
      <c r="C589" s="49"/>
    </row>
    <row r="590">
      <c r="A590" s="9"/>
      <c r="B590" s="42"/>
      <c r="C590" s="49"/>
    </row>
    <row r="591">
      <c r="A591" s="9"/>
      <c r="B591" s="42"/>
      <c r="C591" s="49"/>
    </row>
    <row r="592">
      <c r="A592" s="9"/>
      <c r="B592" s="42"/>
      <c r="C592" s="49"/>
    </row>
    <row r="593">
      <c r="A593" s="9"/>
      <c r="B593" s="42"/>
      <c r="C593" s="49"/>
    </row>
    <row r="594">
      <c r="A594" s="9"/>
      <c r="B594" s="42"/>
      <c r="C594" s="49"/>
    </row>
    <row r="595">
      <c r="A595" s="9"/>
      <c r="B595" s="42"/>
      <c r="C595" s="49"/>
    </row>
    <row r="596">
      <c r="A596" s="9"/>
      <c r="B596" s="42"/>
      <c r="C596" s="49"/>
    </row>
    <row r="597">
      <c r="A597" s="9"/>
      <c r="B597" s="42"/>
      <c r="C597" s="49"/>
    </row>
    <row r="598">
      <c r="A598" s="9"/>
      <c r="B598" s="42"/>
      <c r="C598" s="49"/>
    </row>
    <row r="599">
      <c r="A599" s="9"/>
      <c r="B599" s="42"/>
      <c r="C599" s="49"/>
    </row>
    <row r="600">
      <c r="A600" s="9"/>
      <c r="B600" s="42"/>
      <c r="C600" s="49"/>
    </row>
    <row r="601">
      <c r="A601" s="9"/>
      <c r="B601" s="42"/>
      <c r="C601" s="49"/>
    </row>
    <row r="602">
      <c r="A602" s="9"/>
      <c r="B602" s="42"/>
      <c r="C602" s="49"/>
    </row>
    <row r="603">
      <c r="A603" s="9"/>
      <c r="B603" s="42"/>
      <c r="C603" s="49"/>
    </row>
    <row r="604">
      <c r="A604" s="9"/>
      <c r="B604" s="42"/>
      <c r="C604" s="49"/>
    </row>
    <row r="605">
      <c r="A605" s="9"/>
      <c r="B605" s="42"/>
      <c r="C605" s="49"/>
    </row>
    <row r="606">
      <c r="A606" s="9"/>
      <c r="B606" s="42"/>
      <c r="C606" s="49"/>
    </row>
    <row r="607">
      <c r="A607" s="9"/>
      <c r="B607" s="42"/>
      <c r="C607" s="49"/>
    </row>
    <row r="608">
      <c r="A608" s="9"/>
      <c r="B608" s="42"/>
      <c r="C608" s="49"/>
    </row>
    <row r="609">
      <c r="A609" s="9"/>
      <c r="B609" s="42"/>
      <c r="C609" s="49"/>
    </row>
    <row r="610">
      <c r="A610" s="9"/>
      <c r="B610" s="42"/>
      <c r="C610" s="49"/>
    </row>
    <row r="611">
      <c r="A611" s="9"/>
      <c r="B611" s="42"/>
      <c r="C611" s="49"/>
    </row>
    <row r="612">
      <c r="A612" s="9"/>
      <c r="B612" s="42"/>
      <c r="C612" s="49"/>
    </row>
    <row r="613">
      <c r="A613" s="9"/>
      <c r="B613" s="42"/>
      <c r="C613" s="49"/>
    </row>
    <row r="614">
      <c r="A614" s="9"/>
      <c r="B614" s="42"/>
      <c r="C614" s="49"/>
    </row>
    <row r="615">
      <c r="A615" s="9"/>
      <c r="B615" s="42"/>
      <c r="C615" s="49"/>
    </row>
    <row r="616">
      <c r="A616" s="9"/>
      <c r="B616" s="42"/>
      <c r="C616" s="49"/>
    </row>
    <row r="617">
      <c r="A617" s="9"/>
      <c r="B617" s="42"/>
      <c r="C617" s="49"/>
    </row>
    <row r="618">
      <c r="A618" s="9"/>
      <c r="B618" s="42"/>
      <c r="C618" s="49"/>
    </row>
    <row r="619">
      <c r="A619" s="9"/>
      <c r="B619" s="42"/>
      <c r="C619" s="49"/>
    </row>
    <row r="620">
      <c r="A620" s="9"/>
      <c r="B620" s="42"/>
      <c r="C620" s="49"/>
    </row>
    <row r="621">
      <c r="A621" s="9"/>
      <c r="B621" s="42"/>
      <c r="C621" s="49"/>
    </row>
    <row r="622">
      <c r="A622" s="9"/>
      <c r="B622" s="42"/>
      <c r="C622" s="49"/>
    </row>
    <row r="623">
      <c r="A623" s="9"/>
      <c r="B623" s="42"/>
      <c r="C623" s="49"/>
    </row>
    <row r="624">
      <c r="A624" s="9"/>
      <c r="B624" s="42"/>
      <c r="C624" s="49"/>
    </row>
    <row r="625">
      <c r="A625" s="9"/>
      <c r="B625" s="42"/>
      <c r="C625" s="49"/>
    </row>
    <row r="626">
      <c r="A626" s="9"/>
      <c r="B626" s="42"/>
      <c r="C626" s="49"/>
    </row>
    <row r="627">
      <c r="A627" s="9"/>
      <c r="B627" s="42"/>
      <c r="C627" s="49"/>
    </row>
    <row r="628">
      <c r="A628" s="9"/>
      <c r="B628" s="42"/>
      <c r="C628" s="49"/>
    </row>
    <row r="629">
      <c r="A629" s="9"/>
      <c r="B629" s="42"/>
      <c r="C629" s="49"/>
    </row>
    <row r="630">
      <c r="A630" s="9"/>
      <c r="B630" s="42"/>
      <c r="C630" s="49"/>
    </row>
    <row r="631">
      <c r="A631" s="9"/>
      <c r="B631" s="42"/>
      <c r="C631" s="49"/>
    </row>
    <row r="632">
      <c r="A632" s="9"/>
      <c r="B632" s="42"/>
      <c r="C632" s="49"/>
    </row>
    <row r="633">
      <c r="A633" s="9"/>
      <c r="B633" s="42"/>
      <c r="C633" s="49"/>
    </row>
    <row r="634">
      <c r="A634" s="9"/>
      <c r="B634" s="42"/>
      <c r="C634" s="49"/>
    </row>
    <row r="635">
      <c r="A635" s="9"/>
      <c r="B635" s="42"/>
      <c r="C635" s="49"/>
    </row>
    <row r="636">
      <c r="A636" s="9"/>
      <c r="B636" s="42"/>
      <c r="C636" s="49"/>
    </row>
    <row r="637">
      <c r="A637" s="9"/>
      <c r="B637" s="42"/>
      <c r="C637" s="49"/>
    </row>
    <row r="638">
      <c r="A638" s="9"/>
      <c r="B638" s="42"/>
      <c r="C638" s="49"/>
    </row>
    <row r="639">
      <c r="A639" s="9"/>
      <c r="B639" s="42"/>
      <c r="C639" s="49"/>
    </row>
    <row r="640">
      <c r="A640" s="9"/>
      <c r="B640" s="42"/>
      <c r="C640" s="49"/>
    </row>
    <row r="641">
      <c r="A641" s="9"/>
      <c r="B641" s="42"/>
      <c r="C641" s="49"/>
    </row>
    <row r="642">
      <c r="A642" s="9"/>
      <c r="B642" s="42"/>
      <c r="C642" s="49"/>
    </row>
    <row r="643">
      <c r="A643" s="9"/>
      <c r="B643" s="42"/>
      <c r="C643" s="49"/>
    </row>
    <row r="644">
      <c r="A644" s="9"/>
      <c r="B644" s="42"/>
      <c r="C644" s="49"/>
    </row>
    <row r="645">
      <c r="A645" s="9"/>
      <c r="B645" s="42"/>
      <c r="C645" s="49"/>
    </row>
    <row r="646">
      <c r="A646" s="9"/>
      <c r="B646" s="42"/>
      <c r="C646" s="49"/>
    </row>
    <row r="647">
      <c r="A647" s="9"/>
      <c r="B647" s="42"/>
      <c r="C647" s="49"/>
    </row>
    <row r="648">
      <c r="A648" s="9"/>
      <c r="B648" s="42"/>
      <c r="C648" s="49"/>
    </row>
    <row r="649">
      <c r="A649" s="9"/>
      <c r="B649" s="42"/>
      <c r="C649" s="49"/>
    </row>
    <row r="650">
      <c r="A650" s="9"/>
      <c r="B650" s="42"/>
      <c r="C650" s="49"/>
    </row>
    <row r="651">
      <c r="A651" s="9"/>
      <c r="B651" s="42"/>
      <c r="C651" s="49"/>
    </row>
    <row r="652">
      <c r="A652" s="9"/>
      <c r="B652" s="42"/>
      <c r="C652" s="49"/>
    </row>
    <row r="653">
      <c r="A653" s="9"/>
      <c r="B653" s="42"/>
      <c r="C653" s="49"/>
    </row>
    <row r="654">
      <c r="A654" s="9"/>
      <c r="B654" s="42"/>
      <c r="C654" s="49"/>
    </row>
    <row r="655">
      <c r="A655" s="9"/>
      <c r="B655" s="42"/>
      <c r="C655" s="49"/>
    </row>
    <row r="656">
      <c r="A656" s="9"/>
      <c r="B656" s="42"/>
      <c r="C656" s="49"/>
    </row>
    <row r="657">
      <c r="A657" s="9"/>
      <c r="B657" s="42"/>
      <c r="C657" s="49"/>
    </row>
    <row r="658">
      <c r="A658" s="9"/>
      <c r="B658" s="42"/>
      <c r="C658" s="49"/>
    </row>
    <row r="659">
      <c r="A659" s="9"/>
      <c r="B659" s="42"/>
      <c r="C659" s="49"/>
    </row>
    <row r="660">
      <c r="A660" s="9"/>
      <c r="B660" s="42"/>
      <c r="C660" s="49"/>
    </row>
    <row r="661">
      <c r="A661" s="9"/>
      <c r="B661" s="42"/>
      <c r="C661" s="49"/>
    </row>
    <row r="662">
      <c r="A662" s="9"/>
      <c r="B662" s="42"/>
      <c r="C662" s="49"/>
    </row>
    <row r="663">
      <c r="A663" s="9"/>
      <c r="B663" s="42"/>
      <c r="C663" s="49"/>
    </row>
    <row r="664">
      <c r="A664" s="9"/>
      <c r="B664" s="42"/>
      <c r="C664" s="49"/>
    </row>
    <row r="665">
      <c r="A665" s="9"/>
      <c r="B665" s="42"/>
      <c r="C665" s="49"/>
    </row>
    <row r="666">
      <c r="A666" s="9"/>
      <c r="B666" s="42"/>
      <c r="C666" s="49"/>
    </row>
    <row r="667">
      <c r="A667" s="9"/>
      <c r="B667" s="42"/>
      <c r="C667" s="49"/>
    </row>
    <row r="668">
      <c r="A668" s="9"/>
      <c r="B668" s="42"/>
      <c r="C668" s="49"/>
    </row>
    <row r="669">
      <c r="A669" s="9"/>
      <c r="B669" s="42"/>
      <c r="C669" s="49"/>
    </row>
    <row r="670">
      <c r="A670" s="9"/>
      <c r="B670" s="42"/>
      <c r="C670" s="49"/>
    </row>
    <row r="671">
      <c r="A671" s="9"/>
      <c r="B671" s="42"/>
      <c r="C671" s="49"/>
    </row>
    <row r="672">
      <c r="A672" s="9"/>
      <c r="B672" s="42"/>
      <c r="C672" s="49"/>
    </row>
    <row r="673">
      <c r="A673" s="9"/>
      <c r="B673" s="42"/>
      <c r="C673" s="49"/>
    </row>
    <row r="674">
      <c r="A674" s="9"/>
      <c r="B674" s="42"/>
      <c r="C674" s="49"/>
    </row>
    <row r="675">
      <c r="A675" s="9"/>
      <c r="B675" s="42"/>
      <c r="C675" s="49"/>
    </row>
    <row r="676">
      <c r="A676" s="9"/>
      <c r="B676" s="42"/>
      <c r="C676" s="49"/>
    </row>
    <row r="677">
      <c r="A677" s="9"/>
      <c r="B677" s="42"/>
      <c r="C677" s="49"/>
    </row>
    <row r="678">
      <c r="A678" s="9"/>
      <c r="B678" s="42"/>
      <c r="C678" s="49"/>
    </row>
    <row r="679">
      <c r="A679" s="9"/>
      <c r="B679" s="42"/>
      <c r="C679" s="49"/>
    </row>
    <row r="680">
      <c r="A680" s="9"/>
      <c r="B680" s="42"/>
      <c r="C680" s="49"/>
    </row>
    <row r="681">
      <c r="A681" s="9"/>
      <c r="B681" s="42"/>
      <c r="C681" s="49"/>
    </row>
    <row r="682">
      <c r="A682" s="9"/>
      <c r="B682" s="42"/>
      <c r="C682" s="49"/>
    </row>
    <row r="683">
      <c r="A683" s="9"/>
      <c r="B683" s="42"/>
      <c r="C683" s="49"/>
    </row>
    <row r="684">
      <c r="A684" s="9"/>
      <c r="B684" s="42"/>
      <c r="C684" s="49"/>
    </row>
    <row r="685">
      <c r="A685" s="9"/>
      <c r="B685" s="42"/>
      <c r="C685" s="49"/>
    </row>
    <row r="686">
      <c r="A686" s="9"/>
      <c r="B686" s="42"/>
      <c r="C686" s="49"/>
    </row>
    <row r="687">
      <c r="A687" s="9"/>
      <c r="B687" s="42"/>
      <c r="C687" s="49"/>
    </row>
    <row r="688">
      <c r="A688" s="9"/>
      <c r="B688" s="42"/>
      <c r="C688" s="49"/>
    </row>
    <row r="689">
      <c r="A689" s="9"/>
      <c r="B689" s="42"/>
      <c r="C689" s="49"/>
    </row>
    <row r="690">
      <c r="A690" s="9"/>
      <c r="B690" s="42"/>
      <c r="C690" s="49"/>
    </row>
    <row r="691">
      <c r="A691" s="9"/>
      <c r="B691" s="42"/>
      <c r="C691" s="49"/>
    </row>
    <row r="692">
      <c r="A692" s="9"/>
      <c r="B692" s="42"/>
      <c r="C692" s="49"/>
    </row>
    <row r="693">
      <c r="A693" s="9"/>
      <c r="B693" s="42"/>
      <c r="C693" s="49"/>
    </row>
    <row r="694">
      <c r="A694" s="9"/>
      <c r="B694" s="42"/>
      <c r="C694" s="49"/>
    </row>
    <row r="695">
      <c r="A695" s="9"/>
      <c r="B695" s="42"/>
      <c r="C695" s="49"/>
    </row>
    <row r="696">
      <c r="A696" s="9"/>
      <c r="B696" s="42"/>
      <c r="C696" s="49"/>
    </row>
    <row r="697">
      <c r="A697" s="9"/>
      <c r="B697" s="42"/>
      <c r="C697" s="49"/>
    </row>
    <row r="698">
      <c r="A698" s="9"/>
      <c r="B698" s="42"/>
      <c r="C698" s="49"/>
    </row>
    <row r="699">
      <c r="A699" s="9"/>
      <c r="B699" s="42"/>
      <c r="C699" s="49"/>
    </row>
    <row r="700">
      <c r="A700" s="9"/>
      <c r="B700" s="42"/>
      <c r="C700" s="49"/>
    </row>
    <row r="701">
      <c r="A701" s="9"/>
      <c r="B701" s="42"/>
      <c r="C701" s="49"/>
    </row>
    <row r="702">
      <c r="A702" s="9"/>
      <c r="B702" s="42"/>
      <c r="C702" s="49"/>
    </row>
    <row r="703">
      <c r="A703" s="9"/>
      <c r="B703" s="42"/>
      <c r="C703" s="49"/>
    </row>
    <row r="704">
      <c r="A704" s="9"/>
      <c r="B704" s="42"/>
      <c r="C704" s="49"/>
    </row>
    <row r="705">
      <c r="A705" s="9"/>
      <c r="B705" s="42"/>
      <c r="C705" s="49"/>
    </row>
    <row r="706">
      <c r="A706" s="9"/>
      <c r="B706" s="42"/>
      <c r="C706" s="49"/>
    </row>
    <row r="707">
      <c r="A707" s="9"/>
      <c r="B707" s="42"/>
      <c r="C707" s="49"/>
    </row>
    <row r="708">
      <c r="A708" s="9"/>
      <c r="B708" s="42"/>
      <c r="C708" s="49"/>
    </row>
    <row r="709">
      <c r="A709" s="9"/>
      <c r="B709" s="42"/>
      <c r="C709" s="49"/>
    </row>
    <row r="710">
      <c r="A710" s="9"/>
      <c r="B710" s="42"/>
      <c r="C710" s="49"/>
    </row>
    <row r="711">
      <c r="A711" s="9"/>
      <c r="B711" s="42"/>
      <c r="C711" s="49"/>
    </row>
    <row r="712">
      <c r="A712" s="9"/>
      <c r="B712" s="42"/>
      <c r="C712" s="49"/>
    </row>
    <row r="713">
      <c r="A713" s="9"/>
      <c r="B713" s="42"/>
      <c r="C713" s="49"/>
    </row>
    <row r="714">
      <c r="A714" s="9"/>
      <c r="B714" s="42"/>
      <c r="C714" s="49"/>
    </row>
    <row r="715">
      <c r="A715" s="9"/>
      <c r="B715" s="42"/>
      <c r="C715" s="49"/>
    </row>
    <row r="716">
      <c r="A716" s="9"/>
      <c r="B716" s="42"/>
      <c r="C716" s="49"/>
    </row>
    <row r="717">
      <c r="A717" s="9"/>
      <c r="B717" s="42"/>
      <c r="C717" s="49"/>
    </row>
    <row r="718">
      <c r="A718" s="9"/>
      <c r="B718" s="42"/>
      <c r="C718" s="49"/>
    </row>
    <row r="719">
      <c r="A719" s="9"/>
      <c r="B719" s="42"/>
      <c r="C719" s="49"/>
    </row>
    <row r="720">
      <c r="A720" s="9"/>
      <c r="B720" s="42"/>
      <c r="C720" s="49"/>
    </row>
    <row r="721">
      <c r="A721" s="9"/>
      <c r="B721" s="42"/>
      <c r="C721" s="49"/>
    </row>
    <row r="722">
      <c r="A722" s="9"/>
      <c r="B722" s="42"/>
      <c r="C722" s="49"/>
    </row>
    <row r="723">
      <c r="A723" s="9"/>
      <c r="B723" s="42"/>
      <c r="C723" s="49"/>
    </row>
    <row r="724">
      <c r="A724" s="9"/>
      <c r="B724" s="42"/>
      <c r="C724" s="49"/>
    </row>
    <row r="725">
      <c r="A725" s="9"/>
      <c r="B725" s="42"/>
      <c r="C725" s="49"/>
    </row>
    <row r="726">
      <c r="A726" s="9"/>
      <c r="B726" s="42"/>
      <c r="C726" s="49"/>
    </row>
    <row r="727">
      <c r="A727" s="9"/>
      <c r="B727" s="42"/>
      <c r="C727" s="49"/>
    </row>
    <row r="728">
      <c r="A728" s="9"/>
      <c r="B728" s="42"/>
      <c r="C728" s="49"/>
    </row>
    <row r="729">
      <c r="A729" s="9"/>
      <c r="B729" s="42"/>
      <c r="C729" s="49"/>
    </row>
    <row r="730">
      <c r="A730" s="9"/>
      <c r="B730" s="42"/>
      <c r="C730" s="49"/>
    </row>
    <row r="731">
      <c r="A731" s="9"/>
      <c r="B731" s="42"/>
      <c r="C731" s="49"/>
    </row>
    <row r="732">
      <c r="A732" s="9"/>
      <c r="B732" s="42"/>
      <c r="C732" s="49"/>
    </row>
    <row r="733">
      <c r="A733" s="9"/>
      <c r="B733" s="42"/>
      <c r="C733" s="49"/>
    </row>
    <row r="734">
      <c r="A734" s="9"/>
      <c r="B734" s="42"/>
      <c r="C734" s="49"/>
    </row>
    <row r="735">
      <c r="A735" s="9"/>
      <c r="B735" s="42"/>
      <c r="C735" s="49"/>
    </row>
    <row r="736">
      <c r="A736" s="9"/>
      <c r="B736" s="42"/>
      <c r="C736" s="49"/>
    </row>
    <row r="737">
      <c r="A737" s="9"/>
      <c r="B737" s="42"/>
      <c r="C737" s="49"/>
    </row>
    <row r="738">
      <c r="A738" s="9"/>
      <c r="B738" s="42"/>
      <c r="C738" s="49"/>
    </row>
    <row r="739">
      <c r="A739" s="9"/>
      <c r="B739" s="42"/>
      <c r="C739" s="49"/>
    </row>
    <row r="740">
      <c r="A740" s="9"/>
      <c r="B740" s="42"/>
      <c r="C740" s="49"/>
    </row>
    <row r="741">
      <c r="A741" s="9"/>
      <c r="B741" s="42"/>
      <c r="C741" s="49"/>
    </row>
    <row r="742">
      <c r="A742" s="9"/>
      <c r="B742" s="42"/>
      <c r="C742" s="49"/>
    </row>
    <row r="743">
      <c r="A743" s="9"/>
      <c r="B743" s="42"/>
      <c r="C743" s="49"/>
    </row>
    <row r="744">
      <c r="A744" s="9"/>
      <c r="B744" s="42"/>
      <c r="C744" s="49"/>
    </row>
    <row r="745">
      <c r="A745" s="9"/>
      <c r="B745" s="42"/>
      <c r="C745" s="49"/>
    </row>
    <row r="746">
      <c r="A746" s="9"/>
      <c r="B746" s="42"/>
      <c r="C746" s="49"/>
    </row>
    <row r="747">
      <c r="A747" s="9"/>
      <c r="B747" s="42"/>
      <c r="C747" s="49"/>
    </row>
    <row r="748">
      <c r="A748" s="9"/>
      <c r="B748" s="42"/>
      <c r="C748" s="49"/>
    </row>
    <row r="749">
      <c r="A749" s="9"/>
      <c r="B749" s="42"/>
      <c r="C749" s="49"/>
    </row>
    <row r="750">
      <c r="A750" s="9"/>
      <c r="B750" s="42"/>
      <c r="C750" s="49"/>
    </row>
    <row r="751">
      <c r="A751" s="9"/>
      <c r="B751" s="42"/>
      <c r="C751" s="49"/>
    </row>
    <row r="752">
      <c r="A752" s="9"/>
      <c r="B752" s="42"/>
      <c r="C752" s="49"/>
    </row>
    <row r="753">
      <c r="A753" s="9"/>
      <c r="B753" s="42"/>
      <c r="C753" s="49"/>
    </row>
    <row r="754">
      <c r="A754" s="9"/>
      <c r="B754" s="42"/>
      <c r="C754" s="49"/>
    </row>
    <row r="755">
      <c r="A755" s="9"/>
      <c r="B755" s="42"/>
      <c r="C755" s="49"/>
    </row>
    <row r="756">
      <c r="A756" s="9"/>
      <c r="B756" s="42"/>
      <c r="C756" s="49"/>
    </row>
    <row r="757">
      <c r="A757" s="9"/>
      <c r="B757" s="42"/>
      <c r="C757" s="49"/>
    </row>
    <row r="758">
      <c r="A758" s="9"/>
      <c r="B758" s="42"/>
      <c r="C758" s="49"/>
    </row>
    <row r="759">
      <c r="A759" s="9"/>
      <c r="B759" s="42"/>
      <c r="C759" s="49"/>
    </row>
    <row r="760">
      <c r="A760" s="9"/>
      <c r="B760" s="42"/>
      <c r="C760" s="49"/>
    </row>
    <row r="761">
      <c r="A761" s="9"/>
      <c r="B761" s="42"/>
      <c r="C761" s="49"/>
    </row>
    <row r="762">
      <c r="A762" s="9"/>
      <c r="B762" s="42"/>
      <c r="C762" s="49"/>
    </row>
    <row r="763">
      <c r="A763" s="9"/>
      <c r="B763" s="42"/>
      <c r="C763" s="49"/>
    </row>
    <row r="764">
      <c r="A764" s="9"/>
      <c r="B764" s="42"/>
      <c r="C764" s="49"/>
    </row>
    <row r="765">
      <c r="A765" s="9"/>
      <c r="B765" s="42"/>
      <c r="C765" s="49"/>
    </row>
    <row r="766">
      <c r="A766" s="9"/>
      <c r="B766" s="42"/>
      <c r="C766" s="49"/>
    </row>
    <row r="767">
      <c r="A767" s="9"/>
      <c r="B767" s="42"/>
      <c r="C767" s="49"/>
    </row>
    <row r="768">
      <c r="A768" s="9"/>
      <c r="B768" s="42"/>
      <c r="C768" s="49"/>
    </row>
    <row r="769">
      <c r="A769" s="9"/>
      <c r="B769" s="42"/>
      <c r="C769" s="49"/>
    </row>
    <row r="770">
      <c r="A770" s="9"/>
      <c r="B770" s="42"/>
      <c r="C770" s="49"/>
    </row>
    <row r="771">
      <c r="A771" s="9"/>
      <c r="B771" s="42"/>
      <c r="C771" s="49"/>
    </row>
    <row r="772">
      <c r="A772" s="9"/>
      <c r="B772" s="42"/>
      <c r="C772" s="49"/>
    </row>
    <row r="773">
      <c r="A773" s="9"/>
      <c r="B773" s="42"/>
      <c r="C773" s="49"/>
    </row>
    <row r="774">
      <c r="A774" s="9"/>
      <c r="B774" s="42"/>
      <c r="C774" s="49"/>
    </row>
    <row r="775">
      <c r="A775" s="9"/>
      <c r="B775" s="42"/>
      <c r="C775" s="49"/>
    </row>
    <row r="776">
      <c r="A776" s="9"/>
      <c r="B776" s="42"/>
      <c r="C776" s="49"/>
    </row>
    <row r="777">
      <c r="A777" s="9"/>
      <c r="B777" s="42"/>
      <c r="C777" s="49"/>
    </row>
    <row r="778">
      <c r="A778" s="9"/>
      <c r="B778" s="42"/>
      <c r="C778" s="49"/>
    </row>
    <row r="779">
      <c r="A779" s="9"/>
      <c r="B779" s="42"/>
      <c r="C779" s="49"/>
    </row>
    <row r="780">
      <c r="A780" s="9"/>
      <c r="B780" s="42"/>
      <c r="C780" s="49"/>
    </row>
    <row r="781">
      <c r="A781" s="9"/>
      <c r="B781" s="42"/>
      <c r="C781" s="49"/>
    </row>
    <row r="782">
      <c r="A782" s="9"/>
      <c r="B782" s="42"/>
      <c r="C782" s="49"/>
    </row>
    <row r="783">
      <c r="A783" s="9"/>
      <c r="B783" s="42"/>
      <c r="C783" s="49"/>
    </row>
    <row r="784">
      <c r="A784" s="9"/>
      <c r="B784" s="42"/>
      <c r="C784" s="49"/>
    </row>
    <row r="785">
      <c r="A785" s="9"/>
      <c r="B785" s="42"/>
      <c r="C785" s="49"/>
    </row>
    <row r="786">
      <c r="A786" s="9"/>
      <c r="B786" s="42"/>
      <c r="C786" s="49"/>
    </row>
    <row r="787">
      <c r="A787" s="9"/>
      <c r="B787" s="42"/>
      <c r="C787" s="49"/>
    </row>
    <row r="788">
      <c r="A788" s="9"/>
      <c r="B788" s="42"/>
      <c r="C788" s="49"/>
    </row>
    <row r="789">
      <c r="A789" s="9"/>
      <c r="B789" s="42"/>
      <c r="C789" s="49"/>
    </row>
    <row r="790">
      <c r="A790" s="9"/>
      <c r="B790" s="42"/>
      <c r="C790" s="49"/>
    </row>
    <row r="791">
      <c r="A791" s="9"/>
      <c r="B791" s="42"/>
      <c r="C791" s="49"/>
    </row>
    <row r="792">
      <c r="A792" s="9"/>
      <c r="B792" s="42"/>
      <c r="C792" s="49"/>
    </row>
    <row r="793">
      <c r="A793" s="9"/>
      <c r="B793" s="42"/>
      <c r="C793" s="49"/>
    </row>
    <row r="794">
      <c r="A794" s="9"/>
      <c r="B794" s="42"/>
      <c r="C794" s="49"/>
    </row>
    <row r="795">
      <c r="A795" s="9"/>
      <c r="B795" s="42"/>
      <c r="C795" s="49"/>
    </row>
    <row r="796">
      <c r="A796" s="9"/>
      <c r="B796" s="42"/>
      <c r="C796" s="49"/>
    </row>
    <row r="797">
      <c r="A797" s="9"/>
      <c r="B797" s="42"/>
      <c r="C797" s="49"/>
    </row>
    <row r="798">
      <c r="A798" s="9"/>
      <c r="B798" s="42"/>
      <c r="C798" s="49"/>
    </row>
    <row r="799">
      <c r="A799" s="9"/>
      <c r="B799" s="42"/>
      <c r="C799" s="49"/>
    </row>
    <row r="800">
      <c r="A800" s="9"/>
      <c r="B800" s="42"/>
      <c r="C800" s="49"/>
    </row>
    <row r="801">
      <c r="A801" s="9"/>
      <c r="B801" s="42"/>
      <c r="C801" s="49"/>
    </row>
    <row r="802">
      <c r="A802" s="9"/>
      <c r="B802" s="42"/>
      <c r="C802" s="49"/>
    </row>
    <row r="803">
      <c r="A803" s="9"/>
      <c r="B803" s="42"/>
      <c r="C803" s="49"/>
    </row>
    <row r="804">
      <c r="A804" s="9"/>
      <c r="B804" s="42"/>
      <c r="C804" s="49"/>
    </row>
    <row r="805">
      <c r="A805" s="9"/>
      <c r="B805" s="42"/>
      <c r="C805" s="49"/>
    </row>
    <row r="806">
      <c r="A806" s="9"/>
      <c r="B806" s="42"/>
      <c r="C806" s="49"/>
    </row>
    <row r="807">
      <c r="A807" s="9"/>
      <c r="B807" s="42"/>
      <c r="C807" s="49"/>
    </row>
    <row r="808">
      <c r="A808" s="9"/>
      <c r="B808" s="42"/>
      <c r="C808" s="49"/>
    </row>
    <row r="809">
      <c r="A809" s="9"/>
      <c r="B809" s="42"/>
      <c r="C809" s="49"/>
    </row>
    <row r="810">
      <c r="A810" s="9"/>
      <c r="B810" s="42"/>
      <c r="C810" s="49"/>
    </row>
    <row r="811">
      <c r="A811" s="9"/>
      <c r="B811" s="42"/>
      <c r="C811" s="49"/>
    </row>
    <row r="812">
      <c r="A812" s="9"/>
      <c r="B812" s="42"/>
      <c r="C812" s="49"/>
    </row>
    <row r="813">
      <c r="A813" s="9"/>
      <c r="B813" s="42"/>
      <c r="C813" s="49"/>
    </row>
    <row r="814">
      <c r="A814" s="9"/>
      <c r="B814" s="42"/>
      <c r="C814" s="49"/>
    </row>
    <row r="815">
      <c r="A815" s="9"/>
      <c r="B815" s="42"/>
      <c r="C815" s="49"/>
    </row>
    <row r="816">
      <c r="A816" s="9"/>
      <c r="B816" s="42"/>
      <c r="C816" s="49"/>
    </row>
    <row r="817">
      <c r="A817" s="9"/>
      <c r="B817" s="42"/>
      <c r="C817" s="49"/>
    </row>
    <row r="818">
      <c r="A818" s="9"/>
      <c r="B818" s="42"/>
      <c r="C818" s="49"/>
    </row>
    <row r="819">
      <c r="A819" s="9"/>
      <c r="B819" s="42"/>
      <c r="C819" s="49"/>
    </row>
    <row r="820">
      <c r="A820" s="9"/>
      <c r="B820" s="42"/>
      <c r="C820" s="49"/>
    </row>
    <row r="821">
      <c r="A821" s="9"/>
      <c r="B821" s="42"/>
      <c r="C821" s="49"/>
    </row>
    <row r="822">
      <c r="A822" s="9"/>
      <c r="B822" s="42"/>
      <c r="C822" s="49"/>
    </row>
    <row r="823">
      <c r="A823" s="9"/>
      <c r="B823" s="42"/>
      <c r="C823" s="49"/>
    </row>
    <row r="824">
      <c r="A824" s="9"/>
      <c r="B824" s="42"/>
      <c r="C824" s="49"/>
    </row>
    <row r="825">
      <c r="A825" s="9"/>
      <c r="B825" s="42"/>
      <c r="C825" s="49"/>
    </row>
    <row r="826">
      <c r="A826" s="9"/>
      <c r="B826" s="42"/>
      <c r="C826" s="49"/>
    </row>
    <row r="827">
      <c r="A827" s="9"/>
      <c r="B827" s="42"/>
      <c r="C827" s="49"/>
    </row>
    <row r="828">
      <c r="A828" s="9"/>
      <c r="B828" s="42"/>
      <c r="C828" s="49"/>
    </row>
    <row r="829">
      <c r="A829" s="9"/>
      <c r="B829" s="42"/>
      <c r="C829" s="49"/>
    </row>
    <row r="830">
      <c r="A830" s="9"/>
      <c r="B830" s="42"/>
      <c r="C830" s="49"/>
    </row>
    <row r="831">
      <c r="A831" s="9"/>
      <c r="B831" s="42"/>
      <c r="C831" s="49"/>
    </row>
    <row r="832">
      <c r="A832" s="9"/>
      <c r="B832" s="42"/>
      <c r="C832" s="49"/>
    </row>
    <row r="833">
      <c r="A833" s="9"/>
      <c r="B833" s="42"/>
      <c r="C833" s="49"/>
    </row>
    <row r="834">
      <c r="A834" s="9"/>
      <c r="B834" s="42"/>
      <c r="C834" s="49"/>
    </row>
    <row r="835">
      <c r="A835" s="9"/>
      <c r="B835" s="42"/>
      <c r="C835" s="49"/>
    </row>
    <row r="836">
      <c r="A836" s="9"/>
      <c r="B836" s="42"/>
      <c r="C836" s="49"/>
    </row>
    <row r="837">
      <c r="A837" s="9"/>
      <c r="B837" s="42"/>
      <c r="C837" s="49"/>
    </row>
    <row r="838">
      <c r="A838" s="9"/>
      <c r="B838" s="42"/>
      <c r="C838" s="49"/>
    </row>
    <row r="839">
      <c r="A839" s="9"/>
      <c r="B839" s="42"/>
      <c r="C839" s="49"/>
    </row>
    <row r="840">
      <c r="A840" s="9"/>
      <c r="B840" s="42"/>
      <c r="C840" s="49"/>
    </row>
    <row r="841">
      <c r="A841" s="9"/>
      <c r="B841" s="42"/>
      <c r="C841" s="49"/>
    </row>
    <row r="842">
      <c r="A842" s="9"/>
      <c r="B842" s="42"/>
      <c r="C842" s="49"/>
    </row>
    <row r="843">
      <c r="A843" s="9"/>
      <c r="B843" s="42"/>
      <c r="C843" s="49"/>
    </row>
    <row r="844">
      <c r="A844" s="9"/>
      <c r="B844" s="42"/>
      <c r="C844" s="49"/>
    </row>
    <row r="845">
      <c r="A845" s="9"/>
      <c r="B845" s="42"/>
      <c r="C845" s="49"/>
    </row>
    <row r="846">
      <c r="A846" s="9"/>
      <c r="B846" s="42"/>
      <c r="C846" s="49"/>
    </row>
    <row r="847">
      <c r="A847" s="9"/>
      <c r="B847" s="42"/>
      <c r="C847" s="49"/>
    </row>
    <row r="848">
      <c r="A848" s="9"/>
      <c r="B848" s="42"/>
      <c r="C848" s="49"/>
    </row>
    <row r="849">
      <c r="A849" s="9"/>
      <c r="B849" s="42"/>
      <c r="C849" s="49"/>
    </row>
    <row r="850">
      <c r="A850" s="9"/>
      <c r="B850" s="42"/>
      <c r="C850" s="49"/>
    </row>
    <row r="851">
      <c r="A851" s="9"/>
      <c r="B851" s="42"/>
      <c r="C851" s="49"/>
    </row>
    <row r="852">
      <c r="A852" s="9"/>
      <c r="B852" s="42"/>
      <c r="C852" s="49"/>
    </row>
    <row r="853">
      <c r="A853" s="9"/>
      <c r="B853" s="42"/>
      <c r="C853" s="49"/>
    </row>
    <row r="854">
      <c r="A854" s="9"/>
      <c r="B854" s="42"/>
      <c r="C854" s="49"/>
    </row>
    <row r="855">
      <c r="A855" s="9"/>
      <c r="B855" s="42"/>
      <c r="C855" s="49"/>
    </row>
    <row r="856">
      <c r="A856" s="9"/>
      <c r="B856" s="42"/>
      <c r="C856" s="49"/>
    </row>
    <row r="857">
      <c r="A857" s="9"/>
      <c r="B857" s="42"/>
      <c r="C857" s="49"/>
    </row>
    <row r="858">
      <c r="A858" s="9"/>
      <c r="B858" s="42"/>
      <c r="C858" s="49"/>
    </row>
    <row r="859">
      <c r="A859" s="9"/>
      <c r="B859" s="42"/>
      <c r="C859" s="49"/>
    </row>
    <row r="860">
      <c r="A860" s="9"/>
      <c r="B860" s="42"/>
      <c r="C860" s="49"/>
    </row>
    <row r="861">
      <c r="A861" s="9"/>
      <c r="B861" s="42"/>
      <c r="C861" s="49"/>
    </row>
    <row r="862">
      <c r="A862" s="9"/>
      <c r="B862" s="42"/>
      <c r="C862" s="49"/>
    </row>
    <row r="863">
      <c r="A863" s="9"/>
      <c r="B863" s="42"/>
      <c r="C863" s="49"/>
    </row>
    <row r="864">
      <c r="A864" s="9"/>
      <c r="B864" s="42"/>
      <c r="C864" s="49"/>
    </row>
    <row r="865">
      <c r="A865" s="9"/>
      <c r="B865" s="42"/>
      <c r="C865" s="49"/>
    </row>
    <row r="866">
      <c r="A866" s="9"/>
      <c r="B866" s="42"/>
      <c r="C866" s="49"/>
    </row>
    <row r="867">
      <c r="A867" s="9"/>
      <c r="B867" s="42"/>
      <c r="C867" s="49"/>
    </row>
    <row r="868">
      <c r="A868" s="9"/>
      <c r="B868" s="42"/>
      <c r="C868" s="49"/>
    </row>
    <row r="869">
      <c r="A869" s="9"/>
      <c r="B869" s="42"/>
      <c r="C869" s="49"/>
    </row>
    <row r="870">
      <c r="A870" s="9"/>
      <c r="B870" s="42"/>
      <c r="C870" s="49"/>
    </row>
    <row r="871">
      <c r="A871" s="9"/>
      <c r="B871" s="42"/>
      <c r="C871" s="49"/>
    </row>
    <row r="872">
      <c r="A872" s="9"/>
      <c r="B872" s="42"/>
      <c r="C872" s="49"/>
    </row>
    <row r="873">
      <c r="A873" s="9"/>
      <c r="B873" s="42"/>
      <c r="C873" s="49"/>
    </row>
    <row r="874">
      <c r="A874" s="9"/>
      <c r="B874" s="42"/>
      <c r="C874" s="49"/>
    </row>
    <row r="875">
      <c r="A875" s="9"/>
      <c r="B875" s="42"/>
      <c r="C875" s="49"/>
    </row>
    <row r="876">
      <c r="A876" s="9"/>
      <c r="B876" s="42"/>
      <c r="C876" s="49"/>
    </row>
    <row r="877">
      <c r="A877" s="9"/>
      <c r="B877" s="42"/>
      <c r="C877" s="49"/>
    </row>
    <row r="878">
      <c r="A878" s="9"/>
      <c r="B878" s="42"/>
      <c r="C878" s="49"/>
    </row>
    <row r="879">
      <c r="A879" s="9"/>
      <c r="B879" s="42"/>
      <c r="C879" s="49"/>
    </row>
    <row r="880">
      <c r="A880" s="9"/>
      <c r="B880" s="42"/>
      <c r="C880" s="49"/>
    </row>
    <row r="881">
      <c r="A881" s="9"/>
      <c r="B881" s="42"/>
      <c r="C881" s="49"/>
    </row>
    <row r="882">
      <c r="A882" s="9"/>
      <c r="B882" s="42"/>
      <c r="C882" s="49"/>
    </row>
    <row r="883">
      <c r="A883" s="9"/>
      <c r="B883" s="42"/>
      <c r="C883" s="49"/>
    </row>
    <row r="884">
      <c r="A884" s="9"/>
      <c r="B884" s="42"/>
      <c r="C884" s="49"/>
    </row>
    <row r="885">
      <c r="A885" s="9"/>
      <c r="B885" s="42"/>
      <c r="C885" s="49"/>
    </row>
    <row r="886">
      <c r="A886" s="9"/>
      <c r="B886" s="42"/>
      <c r="C886" s="49"/>
    </row>
    <row r="887">
      <c r="A887" s="9"/>
      <c r="B887" s="42"/>
      <c r="C887" s="49"/>
    </row>
    <row r="888">
      <c r="A888" s="9"/>
      <c r="B888" s="42"/>
      <c r="C888" s="49"/>
    </row>
    <row r="889">
      <c r="A889" s="9"/>
      <c r="B889" s="42"/>
      <c r="C889" s="49"/>
    </row>
    <row r="890">
      <c r="A890" s="9"/>
      <c r="B890" s="42"/>
      <c r="C890" s="49"/>
    </row>
    <row r="891">
      <c r="A891" s="9"/>
      <c r="B891" s="42"/>
      <c r="C891" s="49"/>
    </row>
    <row r="892">
      <c r="A892" s="9"/>
      <c r="B892" s="42"/>
      <c r="C892" s="49"/>
    </row>
    <row r="893">
      <c r="A893" s="9"/>
      <c r="B893" s="42"/>
      <c r="C893" s="49"/>
    </row>
    <row r="894">
      <c r="A894" s="9"/>
      <c r="B894" s="42"/>
      <c r="C894" s="49"/>
    </row>
    <row r="895">
      <c r="A895" s="9"/>
      <c r="B895" s="42"/>
      <c r="C895" s="49"/>
    </row>
    <row r="896">
      <c r="A896" s="9"/>
      <c r="B896" s="42"/>
      <c r="C896" s="49"/>
    </row>
    <row r="897">
      <c r="A897" s="9"/>
      <c r="B897" s="42"/>
      <c r="C897" s="49"/>
    </row>
    <row r="898">
      <c r="A898" s="9"/>
      <c r="B898" s="42"/>
      <c r="C898" s="49"/>
    </row>
    <row r="899">
      <c r="A899" s="9"/>
      <c r="B899" s="42"/>
      <c r="C899" s="49"/>
    </row>
    <row r="900">
      <c r="A900" s="9"/>
      <c r="B900" s="42"/>
      <c r="C900" s="49"/>
    </row>
    <row r="901">
      <c r="A901" s="9"/>
      <c r="B901" s="42"/>
      <c r="C901" s="49"/>
    </row>
    <row r="902">
      <c r="A902" s="9"/>
      <c r="B902" s="42"/>
      <c r="C902" s="49"/>
    </row>
    <row r="903">
      <c r="A903" s="9"/>
      <c r="B903" s="42"/>
      <c r="C903" s="49"/>
    </row>
    <row r="904">
      <c r="A904" s="9"/>
      <c r="B904" s="42"/>
      <c r="C904" s="49"/>
    </row>
    <row r="905">
      <c r="A905" s="9"/>
      <c r="B905" s="42"/>
      <c r="C905" s="49"/>
    </row>
    <row r="906">
      <c r="A906" s="9"/>
      <c r="B906" s="42"/>
      <c r="C906" s="49"/>
    </row>
    <row r="907">
      <c r="A907" s="9"/>
      <c r="B907" s="42"/>
      <c r="C907" s="49"/>
    </row>
    <row r="908">
      <c r="A908" s="9"/>
      <c r="B908" s="42"/>
      <c r="C908" s="49"/>
    </row>
    <row r="909">
      <c r="A909" s="9"/>
      <c r="B909" s="42"/>
      <c r="C909" s="49"/>
    </row>
    <row r="910">
      <c r="A910" s="9"/>
      <c r="B910" s="42"/>
      <c r="C910" s="49"/>
    </row>
    <row r="911">
      <c r="A911" s="9"/>
      <c r="B911" s="42"/>
      <c r="C911" s="49"/>
    </row>
    <row r="912">
      <c r="A912" s="9"/>
      <c r="B912" s="42"/>
      <c r="C912" s="49"/>
    </row>
    <row r="913">
      <c r="A913" s="9"/>
      <c r="B913" s="42"/>
      <c r="C913" s="49"/>
    </row>
    <row r="914">
      <c r="A914" s="9"/>
      <c r="B914" s="42"/>
      <c r="C914" s="49"/>
    </row>
    <row r="915">
      <c r="A915" s="9"/>
      <c r="B915" s="42"/>
      <c r="C915" s="49"/>
    </row>
    <row r="916">
      <c r="A916" s="9"/>
      <c r="B916" s="42"/>
      <c r="C916" s="49"/>
    </row>
    <row r="917">
      <c r="A917" s="9"/>
      <c r="B917" s="42"/>
      <c r="C917" s="49"/>
    </row>
    <row r="918">
      <c r="A918" s="9"/>
      <c r="B918" s="42"/>
      <c r="C918" s="49"/>
    </row>
    <row r="919">
      <c r="A919" s="9"/>
      <c r="B919" s="42"/>
      <c r="C919" s="49"/>
    </row>
    <row r="920">
      <c r="A920" s="9"/>
      <c r="B920" s="42"/>
      <c r="C920" s="49"/>
    </row>
    <row r="921">
      <c r="A921" s="9"/>
      <c r="B921" s="42"/>
      <c r="C921" s="49"/>
    </row>
    <row r="922">
      <c r="A922" s="9"/>
      <c r="B922" s="42"/>
      <c r="C922" s="49"/>
    </row>
    <row r="923">
      <c r="A923" s="9"/>
      <c r="B923" s="42"/>
      <c r="C923" s="49"/>
    </row>
    <row r="924">
      <c r="A924" s="9"/>
      <c r="B924" s="42"/>
      <c r="C924" s="49"/>
    </row>
    <row r="925">
      <c r="A925" s="9"/>
      <c r="B925" s="42"/>
      <c r="C925" s="49"/>
    </row>
    <row r="926">
      <c r="A926" s="9"/>
      <c r="B926" s="42"/>
      <c r="C926" s="49"/>
    </row>
    <row r="927">
      <c r="A927" s="9"/>
      <c r="B927" s="42"/>
      <c r="C927" s="49"/>
    </row>
    <row r="928">
      <c r="A928" s="9"/>
      <c r="B928" s="42"/>
      <c r="C928" s="49"/>
    </row>
    <row r="929">
      <c r="A929" s="9"/>
      <c r="B929" s="42"/>
      <c r="C929" s="49"/>
    </row>
    <row r="930">
      <c r="A930" s="9"/>
      <c r="B930" s="42"/>
      <c r="C930" s="49"/>
    </row>
    <row r="931">
      <c r="A931" s="9"/>
      <c r="B931" s="42"/>
      <c r="C931" s="49"/>
    </row>
    <row r="932">
      <c r="A932" s="9"/>
      <c r="B932" s="42"/>
      <c r="C932" s="49"/>
    </row>
    <row r="933">
      <c r="A933" s="9"/>
      <c r="B933" s="42"/>
      <c r="C933" s="49"/>
    </row>
    <row r="934">
      <c r="A934" s="9"/>
      <c r="B934" s="42"/>
      <c r="C934" s="49"/>
    </row>
    <row r="935">
      <c r="A935" s="9"/>
      <c r="B935" s="42"/>
      <c r="C935" s="49"/>
    </row>
    <row r="936">
      <c r="A936" s="9"/>
      <c r="B936" s="42"/>
      <c r="C936" s="49"/>
    </row>
    <row r="937">
      <c r="A937" s="9"/>
      <c r="B937" s="42"/>
      <c r="C937" s="49"/>
    </row>
    <row r="938">
      <c r="A938" s="9"/>
      <c r="B938" s="42"/>
      <c r="C938" s="49"/>
    </row>
    <row r="939">
      <c r="A939" s="9"/>
      <c r="B939" s="42"/>
      <c r="C939" s="49"/>
    </row>
    <row r="940">
      <c r="A940" s="9"/>
      <c r="B940" s="42"/>
      <c r="C940" s="49"/>
    </row>
    <row r="941">
      <c r="A941" s="9"/>
      <c r="B941" s="42"/>
      <c r="C941" s="49"/>
    </row>
    <row r="942">
      <c r="A942" s="9"/>
      <c r="B942" s="42"/>
      <c r="C942" s="49"/>
    </row>
    <row r="943">
      <c r="A943" s="9"/>
      <c r="B943" s="42"/>
      <c r="C943" s="49"/>
    </row>
    <row r="944">
      <c r="A944" s="9"/>
      <c r="B944" s="42"/>
      <c r="C944" s="49"/>
    </row>
    <row r="945">
      <c r="A945" s="9"/>
      <c r="B945" s="42"/>
      <c r="C945" s="49"/>
    </row>
    <row r="946">
      <c r="A946" s="9"/>
      <c r="B946" s="42"/>
      <c r="C946" s="49"/>
    </row>
    <row r="947">
      <c r="A947" s="9"/>
      <c r="B947" s="42"/>
      <c r="C947" s="49"/>
    </row>
    <row r="948">
      <c r="A948" s="9"/>
      <c r="B948" s="42"/>
      <c r="C948" s="49"/>
    </row>
    <row r="949">
      <c r="A949" s="9"/>
      <c r="B949" s="42"/>
      <c r="C949" s="49"/>
    </row>
    <row r="950">
      <c r="A950" s="9"/>
      <c r="B950" s="42"/>
      <c r="C950" s="49"/>
    </row>
    <row r="951">
      <c r="A951" s="9"/>
      <c r="B951" s="42"/>
      <c r="C951" s="49"/>
    </row>
    <row r="952">
      <c r="A952" s="9"/>
      <c r="B952" s="42"/>
      <c r="C952" s="49"/>
    </row>
    <row r="953">
      <c r="A953" s="9"/>
      <c r="B953" s="42"/>
      <c r="C953" s="49"/>
    </row>
    <row r="954">
      <c r="A954" s="9"/>
      <c r="B954" s="42"/>
      <c r="C954" s="49"/>
    </row>
    <row r="955">
      <c r="A955" s="9"/>
      <c r="B955" s="42"/>
      <c r="C955" s="49"/>
    </row>
    <row r="956">
      <c r="A956" s="9"/>
      <c r="B956" s="42"/>
      <c r="C956" s="49"/>
    </row>
    <row r="957">
      <c r="A957" s="9"/>
      <c r="B957" s="42"/>
      <c r="C957" s="49"/>
    </row>
    <row r="958">
      <c r="A958" s="9"/>
      <c r="B958" s="42"/>
      <c r="C958" s="49"/>
    </row>
    <row r="959">
      <c r="A959" s="9"/>
      <c r="B959" s="42"/>
      <c r="C959" s="49"/>
    </row>
    <row r="960">
      <c r="A960" s="9"/>
      <c r="B960" s="42"/>
      <c r="C960" s="49"/>
    </row>
    <row r="961">
      <c r="A961" s="9"/>
      <c r="B961" s="42"/>
      <c r="C961" s="49"/>
    </row>
    <row r="962">
      <c r="A962" s="9"/>
      <c r="B962" s="42"/>
      <c r="C962" s="49"/>
    </row>
    <row r="963">
      <c r="A963" s="9"/>
      <c r="B963" s="42"/>
      <c r="C963" s="49"/>
    </row>
    <row r="964">
      <c r="A964" s="9"/>
      <c r="B964" s="42"/>
      <c r="C964" s="49"/>
    </row>
    <row r="965">
      <c r="A965" s="9"/>
      <c r="B965" s="42"/>
      <c r="C965" s="49"/>
    </row>
    <row r="966">
      <c r="A966" s="9"/>
      <c r="B966" s="42"/>
      <c r="C966" s="49"/>
    </row>
    <row r="967">
      <c r="A967" s="9"/>
      <c r="B967" s="42"/>
      <c r="C967" s="49"/>
    </row>
    <row r="968">
      <c r="A968" s="9"/>
      <c r="B968" s="42"/>
      <c r="C968" s="49"/>
    </row>
    <row r="969">
      <c r="A969" s="9"/>
      <c r="B969" s="42"/>
      <c r="C969" s="49"/>
    </row>
    <row r="970">
      <c r="A970" s="9"/>
      <c r="B970" s="42"/>
      <c r="C970" s="49"/>
    </row>
    <row r="971">
      <c r="A971" s="9"/>
      <c r="B971" s="42"/>
      <c r="C971" s="49"/>
    </row>
    <row r="972">
      <c r="A972" s="9"/>
      <c r="B972" s="42"/>
      <c r="C972" s="49"/>
    </row>
    <row r="973">
      <c r="A973" s="9"/>
      <c r="B973" s="42"/>
      <c r="C973" s="49"/>
    </row>
    <row r="974">
      <c r="A974" s="9"/>
      <c r="B974" s="42"/>
      <c r="C974" s="49"/>
    </row>
    <row r="975">
      <c r="A975" s="9"/>
      <c r="B975" s="42"/>
      <c r="C975" s="49"/>
    </row>
    <row r="976">
      <c r="A976" s="9"/>
      <c r="B976" s="42"/>
      <c r="C976" s="49"/>
    </row>
    <row r="977">
      <c r="A977" s="9"/>
      <c r="B977" s="42"/>
      <c r="C977" s="49"/>
    </row>
    <row r="978">
      <c r="A978" s="9"/>
      <c r="B978" s="42"/>
      <c r="C978" s="49"/>
    </row>
    <row r="979">
      <c r="A979" s="9"/>
      <c r="B979" s="42"/>
      <c r="C979" s="49"/>
    </row>
    <row r="980">
      <c r="A980" s="9"/>
      <c r="B980" s="42"/>
      <c r="C980" s="49"/>
    </row>
    <row r="981">
      <c r="A981" s="9"/>
      <c r="B981" s="42"/>
      <c r="C981" s="49"/>
    </row>
    <row r="982">
      <c r="A982" s="9"/>
      <c r="B982" s="42"/>
      <c r="C982" s="49"/>
    </row>
    <row r="983">
      <c r="A983" s="9"/>
      <c r="B983" s="42"/>
      <c r="C983" s="49"/>
    </row>
    <row r="984">
      <c r="A984" s="9"/>
      <c r="B984" s="42"/>
      <c r="C984" s="49"/>
    </row>
    <row r="985">
      <c r="A985" s="9"/>
      <c r="B985" s="42"/>
      <c r="C985" s="49"/>
    </row>
    <row r="986">
      <c r="A986" s="9"/>
      <c r="B986" s="42"/>
      <c r="C986" s="49"/>
    </row>
    <row r="987">
      <c r="A987" s="9"/>
      <c r="B987" s="42"/>
      <c r="C987" s="49"/>
    </row>
    <row r="988">
      <c r="A988" s="9"/>
      <c r="B988" s="42"/>
      <c r="C988" s="49"/>
    </row>
    <row r="989">
      <c r="A989" s="9"/>
      <c r="B989" s="42"/>
      <c r="C989" s="49"/>
    </row>
    <row r="990">
      <c r="A990" s="9"/>
      <c r="B990" s="42"/>
      <c r="C990" s="49"/>
    </row>
    <row r="991">
      <c r="A991" s="9"/>
      <c r="B991" s="42"/>
      <c r="C991" s="49"/>
    </row>
    <row r="992">
      <c r="A992" s="9"/>
      <c r="B992" s="42"/>
      <c r="C992" s="49"/>
    </row>
    <row r="993">
      <c r="A993" s="9"/>
      <c r="B993" s="42"/>
      <c r="C993" s="49"/>
    </row>
    <row r="994">
      <c r="A994" s="9"/>
      <c r="B994" s="42"/>
      <c r="C994" s="49"/>
    </row>
    <row r="995">
      <c r="A995" s="9"/>
      <c r="B995" s="42"/>
      <c r="C995" s="49"/>
    </row>
    <row r="996">
      <c r="A996" s="9"/>
      <c r="B996" s="42"/>
      <c r="C996" s="49"/>
    </row>
    <row r="997">
      <c r="A997" s="9"/>
      <c r="B997" s="42"/>
      <c r="C997" s="49"/>
    </row>
    <row r="998">
      <c r="A998" s="9"/>
      <c r="B998" s="42"/>
      <c r="C998" s="49"/>
    </row>
    <row r="999">
      <c r="A999" s="9"/>
      <c r="B999" s="42"/>
      <c r="C999" s="49"/>
    </row>
    <row r="1000">
      <c r="A1000" s="9"/>
      <c r="B1000" s="42"/>
      <c r="C1000" s="4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5"/>
  </cols>
  <sheetData>
    <row r="1">
      <c r="A1" s="51" t="s">
        <v>29</v>
      </c>
      <c r="B1" s="52" t="s">
        <v>3</v>
      </c>
      <c r="C1" s="7" t="s">
        <v>45</v>
      </c>
      <c r="D1" s="7" t="s">
        <v>11</v>
      </c>
      <c r="E1" s="7" t="s">
        <v>12</v>
      </c>
      <c r="F1" s="7" t="s">
        <v>46</v>
      </c>
      <c r="G1" s="7" t="s">
        <v>47</v>
      </c>
      <c r="H1" s="7" t="s">
        <v>48</v>
      </c>
      <c r="I1" s="7" t="s">
        <v>49</v>
      </c>
    </row>
    <row r="2">
      <c r="A2" s="53">
        <v>45980.0</v>
      </c>
      <c r="B2" s="21">
        <v>91466.0</v>
      </c>
      <c r="C2" s="14">
        <v>101286.0</v>
      </c>
      <c r="D2" s="9">
        <f t="shared" ref="D2:D14" si="1">B2-C2</f>
        <v>-9820</v>
      </c>
      <c r="E2" s="9">
        <f>(B2-B14)/B14*100</f>
        <v>-11.51762566</v>
      </c>
      <c r="F2" s="9">
        <f>MAX(B2:B14)</f>
        <v>105997</v>
      </c>
      <c r="G2" s="9">
        <f>MIN(B2:B14)</f>
        <v>91466</v>
      </c>
      <c r="H2" s="9">
        <f>(F2-G2)</f>
        <v>14531</v>
      </c>
      <c r="I2" s="29">
        <f>AVERAGE(B2:B14)</f>
        <v>98566.23077</v>
      </c>
    </row>
    <row r="3">
      <c r="A3" s="53">
        <v>45979.0</v>
      </c>
      <c r="B3" s="21">
        <v>92949.0</v>
      </c>
      <c r="C3" s="14">
        <v>101286.0</v>
      </c>
      <c r="D3" s="9">
        <f t="shared" si="1"/>
        <v>-8337</v>
      </c>
      <c r="E3" s="9"/>
      <c r="F3" s="9"/>
      <c r="G3" s="9"/>
      <c r="H3" s="9"/>
    </row>
    <row r="4">
      <c r="A4" s="54">
        <v>45978.0</v>
      </c>
      <c r="B4" s="14">
        <v>92094.0</v>
      </c>
      <c r="C4" s="14">
        <v>101286.0</v>
      </c>
      <c r="D4" s="9">
        <f t="shared" si="1"/>
        <v>-9192</v>
      </c>
      <c r="E4" s="9"/>
      <c r="F4" s="9"/>
      <c r="G4" s="9"/>
      <c r="H4" s="9"/>
    </row>
    <row r="5">
      <c r="A5" s="54">
        <v>45977.0</v>
      </c>
      <c r="B5" s="23">
        <v>94177.0</v>
      </c>
      <c r="C5" s="14">
        <v>101286.0</v>
      </c>
      <c r="D5" s="9">
        <f t="shared" si="1"/>
        <v>-7109</v>
      </c>
      <c r="E5" s="9"/>
      <c r="F5" s="9"/>
      <c r="G5" s="9"/>
      <c r="H5" s="9"/>
    </row>
    <row r="6">
      <c r="A6" s="54">
        <v>45976.0</v>
      </c>
      <c r="B6" s="23">
        <v>95549.0</v>
      </c>
      <c r="C6" s="14">
        <v>101286.0</v>
      </c>
      <c r="D6" s="9">
        <f t="shared" si="1"/>
        <v>-5737</v>
      </c>
      <c r="E6" s="9"/>
      <c r="F6" s="9"/>
      <c r="G6" s="9"/>
      <c r="H6" s="9"/>
    </row>
    <row r="7">
      <c r="A7" s="54">
        <v>45975.0</v>
      </c>
      <c r="B7" s="23">
        <v>94398.0</v>
      </c>
      <c r="C7" s="14">
        <v>101286.0</v>
      </c>
      <c r="D7" s="9">
        <f t="shared" si="1"/>
        <v>-6888</v>
      </c>
      <c r="E7" s="9"/>
      <c r="F7" s="9"/>
      <c r="G7" s="9"/>
      <c r="H7" s="9"/>
    </row>
    <row r="8">
      <c r="A8" s="54">
        <v>45974.0</v>
      </c>
      <c r="B8" s="23">
        <v>99697.0</v>
      </c>
      <c r="C8" s="14">
        <v>101286.0</v>
      </c>
      <c r="D8" s="9">
        <f t="shared" si="1"/>
        <v>-1589</v>
      </c>
      <c r="E8" s="9"/>
      <c r="F8" s="9"/>
      <c r="G8" s="9"/>
      <c r="H8" s="9"/>
    </row>
    <row r="9">
      <c r="A9" s="54">
        <v>45973.0</v>
      </c>
      <c r="B9" s="23">
        <v>101663.0</v>
      </c>
      <c r="C9" s="14">
        <v>101286.0</v>
      </c>
      <c r="D9" s="9">
        <f t="shared" si="1"/>
        <v>377</v>
      </c>
      <c r="E9" s="9"/>
      <c r="F9" s="9"/>
      <c r="G9" s="9"/>
      <c r="H9" s="9"/>
    </row>
    <row r="10">
      <c r="A10" s="54">
        <v>45972.0</v>
      </c>
      <c r="B10" s="23">
        <v>102997.0</v>
      </c>
      <c r="C10" s="14">
        <v>101286.0</v>
      </c>
      <c r="D10" s="9">
        <f t="shared" si="1"/>
        <v>1711</v>
      </c>
      <c r="E10" s="9"/>
      <c r="F10" s="9"/>
      <c r="G10" s="9"/>
      <c r="H10" s="9"/>
    </row>
    <row r="11">
      <c r="A11" s="54">
        <v>45971.0</v>
      </c>
      <c r="B11" s="23">
        <v>105997.0</v>
      </c>
      <c r="C11" s="14">
        <v>101286.0</v>
      </c>
      <c r="D11" s="9">
        <f t="shared" si="1"/>
        <v>4711</v>
      </c>
      <c r="E11" s="9"/>
      <c r="F11" s="9"/>
      <c r="G11" s="9"/>
      <c r="H11" s="9"/>
    </row>
    <row r="12">
      <c r="A12" s="55">
        <v>45970.0</v>
      </c>
      <c r="B12" s="23">
        <v>104720.0</v>
      </c>
      <c r="C12" s="14">
        <v>101286.0</v>
      </c>
      <c r="D12" s="9">
        <f t="shared" si="1"/>
        <v>3434</v>
      </c>
      <c r="E12" s="9"/>
      <c r="F12" s="9"/>
      <c r="G12" s="9"/>
      <c r="H12" s="9"/>
    </row>
    <row r="13">
      <c r="A13" s="55">
        <v>45969.0</v>
      </c>
      <c r="B13" s="23">
        <v>102282.0</v>
      </c>
      <c r="C13" s="14">
        <v>101286.0</v>
      </c>
      <c r="D13" s="9">
        <f t="shared" si="1"/>
        <v>996</v>
      </c>
      <c r="E13" s="9"/>
      <c r="F13" s="9"/>
      <c r="G13" s="9"/>
      <c r="H13" s="9"/>
    </row>
    <row r="14">
      <c r="A14" s="55">
        <v>45968.0</v>
      </c>
      <c r="B14" s="23">
        <v>103372.0</v>
      </c>
      <c r="C14" s="14">
        <v>101286.0</v>
      </c>
      <c r="D14" s="9">
        <f t="shared" si="1"/>
        <v>2086</v>
      </c>
      <c r="E14" s="9"/>
      <c r="F14" s="9"/>
      <c r="G14" s="9"/>
      <c r="H14" s="9"/>
    </row>
    <row r="15">
      <c r="A15" s="35"/>
      <c r="B15" s="41"/>
      <c r="C15" s="42"/>
      <c r="D15" s="9"/>
      <c r="E15" s="9"/>
      <c r="F15" s="9"/>
      <c r="G15" s="9"/>
      <c r="H15" s="9"/>
    </row>
    <row r="16">
      <c r="A16" s="35"/>
      <c r="B16" s="41"/>
      <c r="C16" s="42"/>
      <c r="D16" s="9"/>
      <c r="E16" s="9"/>
      <c r="F16" s="9"/>
      <c r="G16" s="9"/>
      <c r="H16" s="9"/>
    </row>
    <row r="17">
      <c r="B17" s="42"/>
      <c r="C17" s="42"/>
      <c r="D17" s="9"/>
      <c r="E17" s="9"/>
      <c r="F17" s="9"/>
      <c r="G17" s="9"/>
      <c r="H17" s="9"/>
    </row>
    <row r="18">
      <c r="B18" s="42"/>
      <c r="C18" s="42"/>
      <c r="D18" s="9"/>
      <c r="E18" s="9"/>
      <c r="F18" s="9"/>
      <c r="G18" s="9"/>
      <c r="H18" s="9"/>
    </row>
    <row r="19">
      <c r="B19" s="42"/>
      <c r="C19" s="42"/>
      <c r="D19" s="9"/>
      <c r="E19" s="9"/>
      <c r="F19" s="9"/>
      <c r="G19" s="9"/>
      <c r="H19" s="9"/>
    </row>
    <row r="20">
      <c r="B20" s="42"/>
      <c r="C20" s="42"/>
      <c r="D20" s="9"/>
      <c r="E20" s="9"/>
      <c r="F20" s="9"/>
      <c r="G20" s="9"/>
      <c r="H20" s="9"/>
    </row>
    <row r="21">
      <c r="B21" s="42"/>
      <c r="C21" s="42"/>
      <c r="D21" s="9"/>
      <c r="E21" s="9"/>
      <c r="F21" s="9"/>
      <c r="G21" s="9"/>
      <c r="H21" s="9"/>
    </row>
    <row r="22">
      <c r="B22" s="42"/>
      <c r="C22" s="42"/>
      <c r="D22" s="9"/>
      <c r="E22" s="9"/>
      <c r="F22" s="9"/>
      <c r="G22" s="9"/>
      <c r="H22" s="9"/>
    </row>
    <row r="23">
      <c r="B23" s="42"/>
      <c r="C23" s="42"/>
      <c r="D23" s="9"/>
      <c r="E23" s="9"/>
      <c r="F23" s="9"/>
      <c r="G23" s="9"/>
      <c r="H23" s="9"/>
    </row>
    <row r="24">
      <c r="B24" s="42"/>
      <c r="C24" s="42"/>
      <c r="D24" s="9"/>
      <c r="E24" s="9"/>
      <c r="F24" s="9"/>
      <c r="G24" s="9"/>
      <c r="H24" s="9"/>
    </row>
    <row r="25">
      <c r="B25" s="42"/>
      <c r="C25" s="42"/>
      <c r="D25" s="9"/>
      <c r="E25" s="9"/>
      <c r="F25" s="9"/>
      <c r="G25" s="9"/>
      <c r="H25" s="9"/>
    </row>
    <row r="26">
      <c r="B26" s="42"/>
      <c r="C26" s="42"/>
      <c r="D26" s="9"/>
      <c r="E26" s="9"/>
      <c r="F26" s="9"/>
      <c r="G26" s="9"/>
      <c r="H26" s="9"/>
    </row>
    <row r="27">
      <c r="B27" s="42"/>
      <c r="C27" s="42"/>
      <c r="D27" s="9"/>
      <c r="E27" s="9"/>
      <c r="F27" s="9"/>
      <c r="G27" s="9"/>
      <c r="H27" s="9"/>
    </row>
    <row r="28">
      <c r="B28" s="42"/>
      <c r="C28" s="42"/>
      <c r="D28" s="9"/>
      <c r="E28" s="9"/>
      <c r="F28" s="9"/>
      <c r="G28" s="9"/>
      <c r="H28" s="9"/>
    </row>
    <row r="29">
      <c r="B29" s="42"/>
      <c r="C29" s="42"/>
      <c r="D29" s="9"/>
      <c r="E29" s="9"/>
      <c r="F29" s="9"/>
      <c r="G29" s="9"/>
      <c r="H29" s="9"/>
    </row>
    <row r="30">
      <c r="B30" s="42"/>
      <c r="C30" s="42"/>
      <c r="D30" s="9"/>
      <c r="E30" s="9"/>
      <c r="F30" s="9"/>
      <c r="G30" s="9"/>
      <c r="H30" s="9"/>
    </row>
    <row r="31">
      <c r="B31" s="42"/>
      <c r="C31" s="42"/>
      <c r="D31" s="9"/>
      <c r="E31" s="9"/>
      <c r="F31" s="9"/>
      <c r="G31" s="9"/>
      <c r="H31" s="9"/>
    </row>
    <row r="32">
      <c r="B32" s="42"/>
      <c r="C32" s="42"/>
      <c r="D32" s="9"/>
      <c r="E32" s="9"/>
      <c r="F32" s="9"/>
      <c r="G32" s="9"/>
      <c r="H32" s="9"/>
    </row>
    <row r="33">
      <c r="B33" s="42"/>
      <c r="C33" s="42"/>
      <c r="D33" s="9"/>
      <c r="E33" s="9"/>
      <c r="F33" s="9"/>
      <c r="G33" s="9"/>
      <c r="H33" s="9"/>
    </row>
    <row r="34">
      <c r="B34" s="42"/>
      <c r="C34" s="42"/>
      <c r="D34" s="9"/>
      <c r="E34" s="9"/>
      <c r="F34" s="9"/>
      <c r="G34" s="9"/>
      <c r="H34" s="9"/>
    </row>
    <row r="35">
      <c r="B35" s="42"/>
      <c r="C35" s="42"/>
      <c r="D35" s="9"/>
      <c r="E35" s="9"/>
      <c r="F35" s="9"/>
      <c r="G35" s="9"/>
      <c r="H35" s="9"/>
    </row>
    <row r="36">
      <c r="B36" s="42"/>
      <c r="C36" s="42"/>
      <c r="D36" s="9"/>
      <c r="E36" s="9"/>
      <c r="F36" s="9"/>
      <c r="G36" s="9"/>
      <c r="H36" s="9"/>
    </row>
    <row r="37">
      <c r="B37" s="42"/>
      <c r="C37" s="42"/>
      <c r="D37" s="9"/>
      <c r="E37" s="9"/>
      <c r="F37" s="9"/>
      <c r="G37" s="9"/>
      <c r="H37" s="9"/>
    </row>
    <row r="38">
      <c r="B38" s="42"/>
      <c r="C38" s="42"/>
      <c r="D38" s="9"/>
      <c r="E38" s="9"/>
      <c r="F38" s="9"/>
      <c r="G38" s="9"/>
      <c r="H38" s="9"/>
    </row>
    <row r="39">
      <c r="B39" s="42"/>
      <c r="C39" s="42"/>
      <c r="D39" s="9"/>
      <c r="E39" s="9"/>
      <c r="F39" s="9"/>
      <c r="G39" s="9"/>
      <c r="H39" s="9"/>
    </row>
    <row r="40">
      <c r="B40" s="42"/>
      <c r="C40" s="42"/>
      <c r="D40" s="9"/>
      <c r="E40" s="9"/>
      <c r="F40" s="9"/>
      <c r="G40" s="9"/>
      <c r="H40" s="9"/>
    </row>
    <row r="41">
      <c r="B41" s="42"/>
      <c r="C41" s="42"/>
      <c r="D41" s="9"/>
      <c r="E41" s="9"/>
      <c r="F41" s="9"/>
      <c r="G41" s="9"/>
      <c r="H41" s="9"/>
    </row>
    <row r="42">
      <c r="B42" s="42"/>
      <c r="C42" s="42"/>
      <c r="D42" s="9"/>
      <c r="E42" s="9"/>
      <c r="F42" s="9"/>
      <c r="G42" s="9"/>
      <c r="H42" s="9"/>
    </row>
    <row r="43">
      <c r="B43" s="42"/>
      <c r="C43" s="42"/>
      <c r="D43" s="9"/>
      <c r="E43" s="9"/>
      <c r="F43" s="9"/>
      <c r="G43" s="9"/>
      <c r="H43" s="9"/>
    </row>
    <row r="44">
      <c r="B44" s="42"/>
      <c r="C44" s="42"/>
      <c r="D44" s="9"/>
      <c r="E44" s="9"/>
      <c r="F44" s="9"/>
      <c r="G44" s="9"/>
      <c r="H44" s="9"/>
    </row>
    <row r="45">
      <c r="B45" s="42"/>
      <c r="C45" s="42"/>
      <c r="D45" s="9"/>
      <c r="E45" s="9"/>
      <c r="F45" s="9"/>
      <c r="G45" s="9"/>
      <c r="H45" s="9"/>
    </row>
    <row r="46">
      <c r="B46" s="42"/>
      <c r="C46" s="42"/>
      <c r="D46" s="9"/>
      <c r="E46" s="9"/>
      <c r="F46" s="9"/>
      <c r="G46" s="9"/>
      <c r="H46" s="9"/>
    </row>
    <row r="47">
      <c r="B47" s="42"/>
      <c r="C47" s="42"/>
      <c r="D47" s="9"/>
      <c r="E47" s="9"/>
      <c r="F47" s="9"/>
      <c r="G47" s="9"/>
      <c r="H47" s="9"/>
    </row>
    <row r="48">
      <c r="B48" s="42"/>
      <c r="C48" s="42"/>
      <c r="D48" s="9"/>
      <c r="E48" s="9"/>
      <c r="F48" s="9"/>
      <c r="G48" s="9"/>
      <c r="H48" s="9"/>
    </row>
    <row r="49">
      <c r="B49" s="42"/>
      <c r="C49" s="42"/>
      <c r="D49" s="9"/>
      <c r="E49" s="9"/>
      <c r="F49" s="9"/>
      <c r="G49" s="9"/>
      <c r="H49" s="9"/>
    </row>
    <row r="50">
      <c r="B50" s="42"/>
      <c r="C50" s="42"/>
      <c r="D50" s="9"/>
      <c r="E50" s="9"/>
      <c r="F50" s="9"/>
      <c r="G50" s="9"/>
      <c r="H50" s="9"/>
    </row>
    <row r="51">
      <c r="B51" s="42"/>
      <c r="C51" s="42"/>
      <c r="D51" s="9"/>
      <c r="E51" s="9"/>
      <c r="F51" s="9"/>
      <c r="G51" s="9"/>
      <c r="H51" s="9"/>
    </row>
    <row r="52">
      <c r="B52" s="42"/>
      <c r="C52" s="42"/>
      <c r="D52" s="9"/>
      <c r="E52" s="9"/>
      <c r="F52" s="9"/>
      <c r="G52" s="9"/>
      <c r="H52" s="9"/>
    </row>
    <row r="53">
      <c r="B53" s="42"/>
      <c r="C53" s="42"/>
      <c r="D53" s="9"/>
      <c r="E53" s="9"/>
      <c r="F53" s="9"/>
      <c r="G53" s="9"/>
      <c r="H53" s="9"/>
    </row>
    <row r="54">
      <c r="B54" s="42"/>
      <c r="C54" s="42"/>
      <c r="D54" s="9"/>
      <c r="E54" s="9"/>
      <c r="F54" s="9"/>
      <c r="G54" s="9"/>
      <c r="H54" s="9"/>
    </row>
    <row r="55">
      <c r="B55" s="42"/>
      <c r="C55" s="42"/>
      <c r="D55" s="9"/>
      <c r="E55" s="9"/>
      <c r="F55" s="9"/>
      <c r="G55" s="9"/>
      <c r="H55" s="9"/>
    </row>
    <row r="56">
      <c r="B56" s="42"/>
      <c r="C56" s="42"/>
      <c r="D56" s="9"/>
      <c r="E56" s="9"/>
      <c r="F56" s="9"/>
      <c r="G56" s="9"/>
      <c r="H56" s="9"/>
    </row>
    <row r="57">
      <c r="B57" s="42"/>
      <c r="C57" s="42"/>
      <c r="D57" s="9"/>
      <c r="E57" s="9"/>
      <c r="F57" s="9"/>
      <c r="G57" s="9"/>
      <c r="H57" s="9"/>
    </row>
    <row r="58">
      <c r="B58" s="42"/>
      <c r="C58" s="42"/>
      <c r="D58" s="9"/>
      <c r="E58" s="9"/>
      <c r="F58" s="9"/>
      <c r="G58" s="9"/>
      <c r="H58" s="9"/>
    </row>
    <row r="59">
      <c r="B59" s="42"/>
      <c r="C59" s="42"/>
      <c r="D59" s="9"/>
      <c r="E59" s="9"/>
      <c r="F59" s="9"/>
      <c r="G59" s="9"/>
      <c r="H59" s="9"/>
    </row>
    <row r="60">
      <c r="B60" s="42"/>
      <c r="C60" s="42"/>
      <c r="D60" s="9"/>
      <c r="E60" s="9"/>
      <c r="F60" s="9"/>
      <c r="G60" s="9"/>
      <c r="H60" s="9"/>
    </row>
    <row r="61">
      <c r="B61" s="42"/>
      <c r="C61" s="42"/>
      <c r="D61" s="9"/>
      <c r="E61" s="9"/>
      <c r="F61" s="9"/>
      <c r="G61" s="9"/>
      <c r="H61" s="9"/>
    </row>
    <row r="62">
      <c r="B62" s="42"/>
      <c r="C62" s="42"/>
      <c r="D62" s="9"/>
      <c r="E62" s="9"/>
      <c r="F62" s="9"/>
      <c r="G62" s="9"/>
      <c r="H62" s="9"/>
    </row>
    <row r="63">
      <c r="B63" s="42"/>
      <c r="C63" s="42"/>
      <c r="D63" s="9"/>
      <c r="E63" s="9"/>
      <c r="F63" s="9"/>
      <c r="G63" s="9"/>
      <c r="H63" s="9"/>
    </row>
    <row r="64">
      <c r="B64" s="42"/>
      <c r="C64" s="42"/>
      <c r="D64" s="9"/>
      <c r="E64" s="9"/>
      <c r="F64" s="9"/>
      <c r="G64" s="9"/>
      <c r="H64" s="9"/>
    </row>
    <row r="65">
      <c r="B65" s="42"/>
      <c r="C65" s="42"/>
      <c r="D65" s="9"/>
      <c r="E65" s="9"/>
      <c r="F65" s="9"/>
      <c r="G65" s="9"/>
      <c r="H65" s="9"/>
    </row>
    <row r="66">
      <c r="B66" s="42"/>
      <c r="C66" s="42"/>
      <c r="D66" s="9"/>
      <c r="E66" s="9"/>
      <c r="F66" s="9"/>
      <c r="G66" s="9"/>
      <c r="H66" s="9"/>
    </row>
    <row r="67">
      <c r="B67" s="42"/>
      <c r="C67" s="42"/>
      <c r="D67" s="9"/>
      <c r="E67" s="9"/>
      <c r="F67" s="9"/>
      <c r="G67" s="9"/>
      <c r="H67" s="9"/>
    </row>
    <row r="68">
      <c r="B68" s="42"/>
      <c r="C68" s="42"/>
      <c r="D68" s="9"/>
      <c r="E68" s="9"/>
      <c r="F68" s="9"/>
      <c r="G68" s="9"/>
      <c r="H68" s="9"/>
    </row>
    <row r="69">
      <c r="B69" s="42"/>
      <c r="C69" s="42"/>
      <c r="D69" s="9"/>
      <c r="E69" s="9"/>
      <c r="F69" s="9"/>
      <c r="G69" s="9"/>
      <c r="H69" s="9"/>
    </row>
    <row r="70">
      <c r="B70" s="42"/>
      <c r="C70" s="42"/>
      <c r="D70" s="9"/>
      <c r="E70" s="9"/>
      <c r="F70" s="9"/>
      <c r="G70" s="9"/>
      <c r="H70" s="9"/>
    </row>
    <row r="71">
      <c r="B71" s="42"/>
      <c r="C71" s="42"/>
      <c r="D71" s="9"/>
      <c r="E71" s="9"/>
      <c r="F71" s="9"/>
      <c r="G71" s="9"/>
      <c r="H71" s="9"/>
    </row>
    <row r="72">
      <c r="B72" s="42"/>
      <c r="C72" s="42"/>
      <c r="D72" s="9"/>
      <c r="E72" s="9"/>
      <c r="F72" s="9"/>
      <c r="G72" s="9"/>
      <c r="H72" s="9"/>
    </row>
    <row r="73">
      <c r="B73" s="42"/>
      <c r="C73" s="42"/>
      <c r="D73" s="9"/>
      <c r="E73" s="9"/>
      <c r="F73" s="9"/>
      <c r="G73" s="9"/>
      <c r="H73" s="9"/>
    </row>
    <row r="74">
      <c r="B74" s="42"/>
      <c r="C74" s="42"/>
      <c r="D74" s="9"/>
      <c r="E74" s="9"/>
      <c r="F74" s="9"/>
      <c r="G74" s="9"/>
      <c r="H74" s="9"/>
    </row>
    <row r="75">
      <c r="B75" s="42"/>
      <c r="C75" s="42"/>
      <c r="D75" s="9"/>
      <c r="E75" s="9"/>
      <c r="F75" s="9"/>
      <c r="G75" s="9"/>
      <c r="H75" s="9"/>
    </row>
    <row r="76">
      <c r="B76" s="42"/>
      <c r="C76" s="42"/>
      <c r="D76" s="9"/>
      <c r="E76" s="9"/>
      <c r="F76" s="9"/>
      <c r="G76" s="9"/>
      <c r="H76" s="9"/>
    </row>
    <row r="77">
      <c r="B77" s="42"/>
      <c r="C77" s="42"/>
      <c r="D77" s="9"/>
      <c r="E77" s="9"/>
      <c r="F77" s="9"/>
      <c r="G77" s="9"/>
      <c r="H77" s="9"/>
    </row>
    <row r="78">
      <c r="B78" s="42"/>
      <c r="C78" s="42"/>
      <c r="D78" s="9"/>
      <c r="E78" s="9"/>
      <c r="F78" s="9"/>
      <c r="G78" s="9"/>
      <c r="H78" s="9"/>
    </row>
    <row r="79">
      <c r="B79" s="42"/>
      <c r="C79" s="42"/>
      <c r="D79" s="9"/>
      <c r="E79" s="9"/>
      <c r="F79" s="9"/>
      <c r="G79" s="9"/>
      <c r="H79" s="9"/>
    </row>
    <row r="80">
      <c r="B80" s="42"/>
      <c r="C80" s="42"/>
      <c r="D80" s="9"/>
      <c r="E80" s="9"/>
      <c r="F80" s="9"/>
      <c r="G80" s="9"/>
      <c r="H80" s="9"/>
    </row>
    <row r="81">
      <c r="B81" s="42"/>
      <c r="C81" s="42"/>
      <c r="D81" s="9"/>
      <c r="E81" s="9"/>
      <c r="F81" s="9"/>
      <c r="G81" s="9"/>
      <c r="H81" s="9"/>
    </row>
    <row r="82">
      <c r="B82" s="42"/>
      <c r="C82" s="42"/>
      <c r="D82" s="9"/>
      <c r="E82" s="9"/>
      <c r="F82" s="9"/>
      <c r="G82" s="9"/>
      <c r="H82" s="9"/>
    </row>
    <row r="83">
      <c r="B83" s="42"/>
      <c r="C83" s="42"/>
      <c r="D83" s="9"/>
      <c r="E83" s="9"/>
      <c r="F83" s="9"/>
      <c r="G83" s="9"/>
      <c r="H83" s="9"/>
    </row>
    <row r="84">
      <c r="B84" s="42"/>
      <c r="C84" s="42"/>
      <c r="D84" s="9"/>
      <c r="E84" s="9"/>
      <c r="F84" s="9"/>
      <c r="G84" s="9"/>
      <c r="H84" s="9"/>
    </row>
    <row r="85">
      <c r="B85" s="42"/>
      <c r="C85" s="42"/>
      <c r="D85" s="9"/>
      <c r="E85" s="9"/>
      <c r="F85" s="9"/>
      <c r="G85" s="9"/>
      <c r="H85" s="9"/>
    </row>
    <row r="86">
      <c r="B86" s="42"/>
      <c r="C86" s="42"/>
      <c r="D86" s="9"/>
      <c r="E86" s="9"/>
      <c r="F86" s="9"/>
      <c r="G86" s="9"/>
      <c r="H86" s="9"/>
    </row>
    <row r="87">
      <c r="B87" s="42"/>
      <c r="C87" s="42"/>
      <c r="D87" s="9"/>
      <c r="E87" s="9"/>
      <c r="F87" s="9"/>
      <c r="G87" s="9"/>
      <c r="H87" s="9"/>
    </row>
    <row r="88">
      <c r="B88" s="42"/>
      <c r="C88" s="42"/>
      <c r="D88" s="9"/>
      <c r="E88" s="9"/>
      <c r="F88" s="9"/>
      <c r="G88" s="9"/>
      <c r="H88" s="9"/>
    </row>
    <row r="89">
      <c r="B89" s="42"/>
      <c r="C89" s="42"/>
      <c r="D89" s="9"/>
      <c r="E89" s="9"/>
      <c r="F89" s="9"/>
      <c r="G89" s="9"/>
      <c r="H89" s="9"/>
    </row>
    <row r="90">
      <c r="B90" s="42"/>
      <c r="C90" s="42"/>
      <c r="D90" s="9"/>
      <c r="E90" s="9"/>
      <c r="F90" s="9"/>
      <c r="G90" s="9"/>
      <c r="H90" s="9"/>
    </row>
    <row r="91">
      <c r="B91" s="42"/>
      <c r="C91" s="42"/>
      <c r="D91" s="9"/>
      <c r="E91" s="9"/>
      <c r="F91" s="9"/>
      <c r="G91" s="9"/>
      <c r="H91" s="9"/>
    </row>
    <row r="92">
      <c r="B92" s="42"/>
      <c r="C92" s="42"/>
      <c r="D92" s="9"/>
      <c r="E92" s="9"/>
      <c r="F92" s="9"/>
      <c r="G92" s="9"/>
      <c r="H92" s="9"/>
    </row>
    <row r="93">
      <c r="B93" s="42"/>
      <c r="C93" s="42"/>
      <c r="D93" s="9"/>
      <c r="E93" s="9"/>
      <c r="F93" s="9"/>
      <c r="G93" s="9"/>
      <c r="H93" s="9"/>
    </row>
    <row r="94">
      <c r="B94" s="42"/>
      <c r="C94" s="42"/>
      <c r="D94" s="9"/>
      <c r="E94" s="9"/>
      <c r="F94" s="9"/>
      <c r="G94" s="9"/>
      <c r="H94" s="9"/>
    </row>
    <row r="95">
      <c r="B95" s="42"/>
      <c r="C95" s="42"/>
      <c r="D95" s="9"/>
      <c r="E95" s="9"/>
      <c r="F95" s="9"/>
      <c r="G95" s="9"/>
      <c r="H95" s="9"/>
    </row>
    <row r="96">
      <c r="B96" s="42"/>
      <c r="C96" s="42"/>
      <c r="D96" s="9"/>
      <c r="E96" s="9"/>
      <c r="F96" s="9"/>
      <c r="G96" s="9"/>
      <c r="H96" s="9"/>
    </row>
    <row r="97">
      <c r="B97" s="42"/>
      <c r="C97" s="42"/>
      <c r="D97" s="9"/>
      <c r="E97" s="9"/>
      <c r="F97" s="9"/>
      <c r="G97" s="9"/>
      <c r="H97" s="9"/>
    </row>
    <row r="98">
      <c r="B98" s="42"/>
      <c r="C98" s="42"/>
      <c r="D98" s="9"/>
      <c r="E98" s="9"/>
      <c r="F98" s="9"/>
      <c r="G98" s="9"/>
      <c r="H98" s="9"/>
    </row>
    <row r="99">
      <c r="B99" s="42"/>
      <c r="C99" s="42"/>
      <c r="D99" s="9"/>
      <c r="E99" s="9"/>
      <c r="F99" s="9"/>
      <c r="G99" s="9"/>
      <c r="H99" s="9"/>
    </row>
    <row r="100">
      <c r="B100" s="42"/>
      <c r="C100" s="42"/>
      <c r="D100" s="9"/>
      <c r="E100" s="9"/>
      <c r="F100" s="9"/>
      <c r="G100" s="9"/>
      <c r="H100" s="9"/>
    </row>
    <row r="101">
      <c r="B101" s="42"/>
      <c r="C101" s="42"/>
      <c r="D101" s="9"/>
      <c r="E101" s="9"/>
      <c r="F101" s="9"/>
      <c r="G101" s="9"/>
      <c r="H101" s="9"/>
    </row>
    <row r="102">
      <c r="B102" s="42"/>
      <c r="C102" s="42"/>
      <c r="D102" s="9"/>
      <c r="E102" s="9"/>
      <c r="F102" s="9"/>
      <c r="G102" s="9"/>
      <c r="H102" s="9"/>
    </row>
    <row r="103">
      <c r="B103" s="42"/>
      <c r="C103" s="42"/>
      <c r="D103" s="9"/>
      <c r="E103" s="9"/>
      <c r="F103" s="9"/>
      <c r="G103" s="9"/>
      <c r="H103" s="9"/>
    </row>
    <row r="104">
      <c r="B104" s="42"/>
      <c r="C104" s="42"/>
      <c r="D104" s="9"/>
      <c r="E104" s="9"/>
      <c r="F104" s="9"/>
      <c r="G104" s="9"/>
      <c r="H104" s="9"/>
    </row>
    <row r="105">
      <c r="B105" s="42"/>
      <c r="C105" s="42"/>
      <c r="D105" s="9"/>
      <c r="E105" s="9"/>
      <c r="F105" s="9"/>
      <c r="G105" s="9"/>
      <c r="H105" s="9"/>
    </row>
    <row r="106">
      <c r="B106" s="42"/>
      <c r="C106" s="42"/>
      <c r="D106" s="9"/>
      <c r="E106" s="9"/>
      <c r="F106" s="9"/>
      <c r="G106" s="9"/>
      <c r="H106" s="9"/>
    </row>
    <row r="107">
      <c r="B107" s="42"/>
      <c r="C107" s="42"/>
      <c r="D107" s="9"/>
      <c r="E107" s="9"/>
      <c r="F107" s="9"/>
      <c r="G107" s="9"/>
      <c r="H107" s="9"/>
    </row>
    <row r="108">
      <c r="B108" s="42"/>
      <c r="C108" s="42"/>
      <c r="D108" s="9"/>
      <c r="E108" s="9"/>
      <c r="F108" s="9"/>
      <c r="G108" s="9"/>
      <c r="H108" s="9"/>
    </row>
    <row r="109">
      <c r="B109" s="42"/>
      <c r="C109" s="42"/>
      <c r="D109" s="9"/>
      <c r="E109" s="9"/>
      <c r="F109" s="9"/>
      <c r="G109" s="9"/>
      <c r="H109" s="9"/>
    </row>
    <row r="110">
      <c r="B110" s="42"/>
      <c r="C110" s="42"/>
      <c r="D110" s="9"/>
      <c r="E110" s="9"/>
      <c r="F110" s="9"/>
      <c r="G110" s="9"/>
      <c r="H110" s="9"/>
    </row>
    <row r="111">
      <c r="B111" s="42"/>
      <c r="C111" s="42"/>
      <c r="D111" s="9"/>
      <c r="E111" s="9"/>
      <c r="F111" s="9"/>
      <c r="G111" s="9"/>
      <c r="H111" s="9"/>
    </row>
    <row r="112">
      <c r="B112" s="42"/>
      <c r="C112" s="42"/>
      <c r="D112" s="9"/>
      <c r="E112" s="9"/>
      <c r="F112" s="9"/>
      <c r="G112" s="9"/>
      <c r="H112" s="9"/>
    </row>
    <row r="113">
      <c r="B113" s="42"/>
      <c r="C113" s="42"/>
      <c r="D113" s="9"/>
      <c r="E113" s="9"/>
      <c r="F113" s="9"/>
      <c r="G113" s="9"/>
      <c r="H113" s="9"/>
    </row>
    <row r="114">
      <c r="B114" s="42"/>
      <c r="C114" s="42"/>
      <c r="D114" s="9"/>
      <c r="E114" s="9"/>
      <c r="F114" s="9"/>
      <c r="G114" s="9"/>
      <c r="H114" s="9"/>
    </row>
    <row r="115">
      <c r="B115" s="42"/>
      <c r="C115" s="42"/>
      <c r="D115" s="9"/>
      <c r="E115" s="9"/>
      <c r="F115" s="9"/>
      <c r="G115" s="9"/>
      <c r="H115" s="9"/>
    </row>
    <row r="116">
      <c r="B116" s="42"/>
      <c r="C116" s="42"/>
      <c r="D116" s="9"/>
      <c r="E116" s="9"/>
      <c r="F116" s="9"/>
      <c r="G116" s="9"/>
      <c r="H116" s="9"/>
    </row>
    <row r="117">
      <c r="B117" s="42"/>
      <c r="C117" s="42"/>
      <c r="D117" s="9"/>
      <c r="E117" s="9"/>
      <c r="F117" s="9"/>
      <c r="G117" s="9"/>
      <c r="H117" s="9"/>
    </row>
    <row r="118">
      <c r="B118" s="42"/>
      <c r="C118" s="42"/>
      <c r="D118" s="9"/>
      <c r="E118" s="9"/>
      <c r="F118" s="9"/>
      <c r="G118" s="9"/>
      <c r="H118" s="9"/>
    </row>
    <row r="119">
      <c r="B119" s="42"/>
      <c r="C119" s="42"/>
      <c r="D119" s="9"/>
      <c r="E119" s="9"/>
      <c r="F119" s="9"/>
      <c r="G119" s="9"/>
      <c r="H119" s="9"/>
    </row>
    <row r="120">
      <c r="B120" s="42"/>
      <c r="C120" s="42"/>
      <c r="D120" s="9"/>
      <c r="E120" s="9"/>
      <c r="F120" s="9"/>
      <c r="G120" s="9"/>
      <c r="H120" s="9"/>
    </row>
    <row r="121">
      <c r="B121" s="42"/>
      <c r="C121" s="42"/>
      <c r="D121" s="9"/>
      <c r="E121" s="9"/>
      <c r="F121" s="9"/>
      <c r="G121" s="9"/>
      <c r="H121" s="9"/>
    </row>
    <row r="122">
      <c r="B122" s="42"/>
      <c r="C122" s="42"/>
      <c r="D122" s="9"/>
      <c r="E122" s="9"/>
      <c r="F122" s="9"/>
      <c r="G122" s="9"/>
      <c r="H122" s="9"/>
    </row>
    <row r="123">
      <c r="B123" s="42"/>
      <c r="C123" s="42"/>
      <c r="D123" s="9"/>
      <c r="E123" s="9"/>
      <c r="F123" s="9"/>
      <c r="G123" s="9"/>
      <c r="H123" s="9"/>
    </row>
    <row r="124">
      <c r="B124" s="42"/>
      <c r="C124" s="42"/>
      <c r="D124" s="9"/>
      <c r="E124" s="9"/>
      <c r="F124" s="9"/>
      <c r="G124" s="9"/>
      <c r="H124" s="9"/>
    </row>
    <row r="125">
      <c r="B125" s="42"/>
      <c r="C125" s="42"/>
      <c r="D125" s="9"/>
      <c r="E125" s="9"/>
      <c r="F125" s="9"/>
      <c r="G125" s="9"/>
      <c r="H125" s="9"/>
    </row>
    <row r="126">
      <c r="B126" s="42"/>
      <c r="C126" s="42"/>
      <c r="D126" s="9"/>
      <c r="E126" s="9"/>
      <c r="F126" s="9"/>
      <c r="G126" s="9"/>
      <c r="H126" s="9"/>
    </row>
    <row r="127">
      <c r="B127" s="42"/>
      <c r="C127" s="42"/>
      <c r="D127" s="9"/>
      <c r="E127" s="9"/>
      <c r="F127" s="9"/>
      <c r="G127" s="9"/>
      <c r="H127" s="9"/>
    </row>
    <row r="128">
      <c r="B128" s="42"/>
      <c r="C128" s="42"/>
      <c r="D128" s="9"/>
      <c r="E128" s="9"/>
      <c r="F128" s="9"/>
      <c r="G128" s="9"/>
      <c r="H128" s="9"/>
    </row>
    <row r="129">
      <c r="B129" s="42"/>
      <c r="C129" s="42"/>
      <c r="D129" s="9"/>
      <c r="E129" s="9"/>
      <c r="F129" s="9"/>
      <c r="G129" s="9"/>
      <c r="H129" s="9"/>
    </row>
    <row r="130">
      <c r="B130" s="42"/>
      <c r="C130" s="42"/>
      <c r="D130" s="9"/>
      <c r="E130" s="9"/>
      <c r="F130" s="9"/>
      <c r="G130" s="9"/>
      <c r="H130" s="9"/>
    </row>
    <row r="131">
      <c r="B131" s="42"/>
      <c r="C131" s="42"/>
      <c r="D131" s="9"/>
      <c r="E131" s="9"/>
      <c r="F131" s="9"/>
      <c r="G131" s="9"/>
      <c r="H131" s="9"/>
    </row>
    <row r="132">
      <c r="B132" s="42"/>
      <c r="C132" s="42"/>
      <c r="D132" s="9"/>
      <c r="E132" s="9"/>
      <c r="F132" s="9"/>
      <c r="G132" s="9"/>
      <c r="H132" s="9"/>
    </row>
    <row r="133">
      <c r="B133" s="42"/>
      <c r="C133" s="42"/>
      <c r="D133" s="9"/>
      <c r="E133" s="9"/>
      <c r="F133" s="9"/>
      <c r="G133" s="9"/>
      <c r="H133" s="9"/>
    </row>
    <row r="134">
      <c r="B134" s="42"/>
      <c r="C134" s="42"/>
      <c r="D134" s="9"/>
      <c r="E134" s="9"/>
      <c r="F134" s="9"/>
      <c r="G134" s="9"/>
      <c r="H134" s="9"/>
    </row>
    <row r="135">
      <c r="B135" s="42"/>
      <c r="C135" s="42"/>
      <c r="D135" s="9"/>
      <c r="E135" s="9"/>
      <c r="F135" s="9"/>
      <c r="G135" s="9"/>
      <c r="H135" s="9"/>
    </row>
    <row r="136">
      <c r="B136" s="42"/>
      <c r="C136" s="42"/>
      <c r="D136" s="9"/>
      <c r="E136" s="9"/>
      <c r="F136" s="9"/>
      <c r="G136" s="9"/>
      <c r="H136" s="9"/>
    </row>
    <row r="137">
      <c r="B137" s="42"/>
      <c r="C137" s="42"/>
      <c r="D137" s="9"/>
      <c r="E137" s="9"/>
      <c r="F137" s="9"/>
      <c r="G137" s="9"/>
      <c r="H137" s="9"/>
    </row>
    <row r="138">
      <c r="B138" s="42"/>
      <c r="C138" s="42"/>
      <c r="D138" s="9"/>
      <c r="E138" s="9"/>
      <c r="F138" s="9"/>
      <c r="G138" s="9"/>
      <c r="H138" s="9"/>
    </row>
    <row r="139">
      <c r="B139" s="42"/>
      <c r="C139" s="42"/>
      <c r="D139" s="9"/>
      <c r="E139" s="9"/>
      <c r="F139" s="9"/>
      <c r="G139" s="9"/>
      <c r="H139" s="9"/>
    </row>
    <row r="140">
      <c r="B140" s="42"/>
      <c r="C140" s="42"/>
      <c r="D140" s="9"/>
      <c r="E140" s="9"/>
      <c r="F140" s="9"/>
      <c r="G140" s="9"/>
      <c r="H140" s="9"/>
    </row>
    <row r="141">
      <c r="B141" s="42"/>
      <c r="C141" s="42"/>
      <c r="D141" s="9"/>
      <c r="E141" s="9"/>
      <c r="F141" s="9"/>
      <c r="G141" s="9"/>
      <c r="H141" s="9"/>
    </row>
    <row r="142">
      <c r="B142" s="42"/>
      <c r="C142" s="42"/>
      <c r="D142" s="9"/>
      <c r="E142" s="9"/>
      <c r="F142" s="9"/>
      <c r="G142" s="9"/>
      <c r="H142" s="9"/>
    </row>
    <row r="143">
      <c r="B143" s="42"/>
      <c r="C143" s="42"/>
      <c r="D143" s="9"/>
      <c r="E143" s="9"/>
      <c r="F143" s="9"/>
      <c r="G143" s="9"/>
      <c r="H143" s="9"/>
    </row>
    <row r="144">
      <c r="B144" s="42"/>
      <c r="C144" s="42"/>
      <c r="D144" s="9"/>
      <c r="E144" s="9"/>
      <c r="F144" s="9"/>
      <c r="G144" s="9"/>
      <c r="H144" s="9"/>
    </row>
    <row r="145">
      <c r="B145" s="42"/>
      <c r="C145" s="42"/>
      <c r="D145" s="9"/>
      <c r="E145" s="9"/>
      <c r="F145" s="9"/>
      <c r="G145" s="9"/>
      <c r="H145" s="9"/>
    </row>
    <row r="146">
      <c r="B146" s="42"/>
      <c r="C146" s="42"/>
      <c r="D146" s="9"/>
      <c r="E146" s="9"/>
      <c r="F146" s="9"/>
      <c r="G146" s="9"/>
      <c r="H146" s="9"/>
    </row>
    <row r="147">
      <c r="B147" s="42"/>
      <c r="C147" s="42"/>
      <c r="D147" s="9"/>
      <c r="E147" s="9"/>
      <c r="F147" s="9"/>
      <c r="G147" s="9"/>
      <c r="H147" s="9"/>
    </row>
    <row r="148">
      <c r="B148" s="42"/>
      <c r="C148" s="42"/>
      <c r="D148" s="9"/>
      <c r="E148" s="9"/>
      <c r="F148" s="9"/>
      <c r="G148" s="9"/>
      <c r="H148" s="9"/>
    </row>
    <row r="149">
      <c r="B149" s="42"/>
      <c r="C149" s="42"/>
      <c r="D149" s="9"/>
      <c r="E149" s="9"/>
      <c r="F149" s="9"/>
      <c r="G149" s="9"/>
      <c r="H149" s="9"/>
    </row>
    <row r="150">
      <c r="B150" s="42"/>
      <c r="C150" s="42"/>
      <c r="D150" s="9"/>
      <c r="E150" s="9"/>
      <c r="F150" s="9"/>
      <c r="G150" s="9"/>
      <c r="H150" s="9"/>
    </row>
    <row r="151">
      <c r="B151" s="42"/>
      <c r="C151" s="42"/>
      <c r="D151" s="9"/>
      <c r="E151" s="9"/>
      <c r="F151" s="9"/>
      <c r="G151" s="9"/>
      <c r="H151" s="9"/>
    </row>
    <row r="152">
      <c r="B152" s="42"/>
      <c r="C152" s="42"/>
      <c r="D152" s="9"/>
      <c r="E152" s="9"/>
      <c r="F152" s="9"/>
      <c r="G152" s="9"/>
      <c r="H152" s="9"/>
    </row>
    <row r="153">
      <c r="B153" s="42"/>
      <c r="C153" s="42"/>
      <c r="D153" s="9"/>
      <c r="E153" s="9"/>
      <c r="F153" s="9"/>
      <c r="G153" s="9"/>
      <c r="H153" s="9"/>
    </row>
    <row r="154">
      <c r="B154" s="42"/>
      <c r="C154" s="42"/>
      <c r="D154" s="9"/>
      <c r="E154" s="9"/>
      <c r="F154" s="9"/>
      <c r="G154" s="9"/>
      <c r="H154" s="9"/>
    </row>
    <row r="155">
      <c r="B155" s="42"/>
      <c r="C155" s="42"/>
      <c r="D155" s="9"/>
      <c r="E155" s="9"/>
      <c r="F155" s="9"/>
      <c r="G155" s="9"/>
      <c r="H155" s="9"/>
    </row>
    <row r="156">
      <c r="B156" s="42"/>
      <c r="C156" s="42"/>
      <c r="D156" s="9"/>
      <c r="E156" s="9"/>
      <c r="F156" s="9"/>
      <c r="G156" s="9"/>
      <c r="H156" s="9"/>
    </row>
    <row r="157">
      <c r="B157" s="42"/>
      <c r="C157" s="42"/>
      <c r="D157" s="9"/>
      <c r="E157" s="9"/>
      <c r="F157" s="9"/>
      <c r="G157" s="9"/>
      <c r="H157" s="9"/>
    </row>
    <row r="158">
      <c r="B158" s="42"/>
      <c r="C158" s="42"/>
      <c r="D158" s="9"/>
      <c r="E158" s="9"/>
      <c r="F158" s="9"/>
      <c r="G158" s="9"/>
      <c r="H158" s="9"/>
    </row>
    <row r="159">
      <c r="B159" s="42"/>
      <c r="C159" s="42"/>
      <c r="D159" s="9"/>
      <c r="E159" s="9"/>
      <c r="F159" s="9"/>
      <c r="G159" s="9"/>
      <c r="H159" s="9"/>
    </row>
    <row r="160">
      <c r="B160" s="42"/>
      <c r="C160" s="42"/>
      <c r="D160" s="9"/>
      <c r="E160" s="9"/>
      <c r="F160" s="9"/>
      <c r="G160" s="9"/>
      <c r="H160" s="9"/>
    </row>
    <row r="161">
      <c r="B161" s="42"/>
      <c r="C161" s="42"/>
      <c r="D161" s="9"/>
      <c r="E161" s="9"/>
      <c r="F161" s="9"/>
      <c r="G161" s="9"/>
      <c r="H161" s="9"/>
    </row>
    <row r="162">
      <c r="B162" s="42"/>
      <c r="C162" s="42"/>
      <c r="D162" s="9"/>
      <c r="E162" s="9"/>
      <c r="F162" s="9"/>
      <c r="G162" s="9"/>
      <c r="H162" s="9"/>
    </row>
    <row r="163">
      <c r="B163" s="42"/>
      <c r="C163" s="42"/>
      <c r="D163" s="9"/>
      <c r="E163" s="9"/>
      <c r="F163" s="9"/>
      <c r="G163" s="9"/>
      <c r="H163" s="9"/>
    </row>
    <row r="164">
      <c r="B164" s="42"/>
      <c r="C164" s="42"/>
      <c r="D164" s="9"/>
      <c r="E164" s="9"/>
      <c r="F164" s="9"/>
      <c r="G164" s="9"/>
      <c r="H164" s="9"/>
    </row>
    <row r="165">
      <c r="B165" s="42"/>
      <c r="C165" s="42"/>
      <c r="D165" s="9"/>
      <c r="E165" s="9"/>
      <c r="F165" s="9"/>
      <c r="G165" s="9"/>
      <c r="H165" s="9"/>
    </row>
    <row r="166">
      <c r="B166" s="42"/>
      <c r="C166" s="42"/>
      <c r="D166" s="9"/>
      <c r="E166" s="9"/>
      <c r="F166" s="9"/>
      <c r="G166" s="9"/>
      <c r="H166" s="9"/>
    </row>
    <row r="167">
      <c r="B167" s="42"/>
      <c r="C167" s="42"/>
      <c r="D167" s="9"/>
      <c r="E167" s="9"/>
      <c r="F167" s="9"/>
      <c r="G167" s="9"/>
      <c r="H167" s="9"/>
    </row>
    <row r="168">
      <c r="B168" s="42"/>
      <c r="C168" s="42"/>
      <c r="D168" s="9"/>
      <c r="E168" s="9"/>
      <c r="F168" s="9"/>
      <c r="G168" s="9"/>
      <c r="H168" s="9"/>
    </row>
    <row r="169">
      <c r="B169" s="42"/>
      <c r="C169" s="42"/>
      <c r="D169" s="9"/>
      <c r="E169" s="9"/>
      <c r="F169" s="9"/>
      <c r="G169" s="9"/>
      <c r="H169" s="9"/>
    </row>
    <row r="170">
      <c r="B170" s="42"/>
      <c r="C170" s="42"/>
      <c r="D170" s="9"/>
      <c r="E170" s="9"/>
      <c r="F170" s="9"/>
      <c r="G170" s="9"/>
      <c r="H170" s="9"/>
    </row>
    <row r="171">
      <c r="B171" s="42"/>
      <c r="C171" s="42"/>
      <c r="D171" s="9"/>
      <c r="E171" s="9"/>
      <c r="F171" s="9"/>
      <c r="G171" s="9"/>
      <c r="H171" s="9"/>
    </row>
    <row r="172">
      <c r="B172" s="42"/>
      <c r="C172" s="42"/>
      <c r="D172" s="9"/>
      <c r="E172" s="9"/>
      <c r="F172" s="9"/>
      <c r="G172" s="9"/>
      <c r="H172" s="9"/>
    </row>
    <row r="173">
      <c r="B173" s="42"/>
      <c r="C173" s="42"/>
      <c r="D173" s="9"/>
      <c r="E173" s="9"/>
      <c r="F173" s="9"/>
      <c r="G173" s="9"/>
      <c r="H173" s="9"/>
    </row>
    <row r="174">
      <c r="B174" s="42"/>
      <c r="C174" s="42"/>
      <c r="D174" s="9"/>
      <c r="E174" s="9"/>
      <c r="F174" s="9"/>
      <c r="G174" s="9"/>
      <c r="H174" s="9"/>
    </row>
    <row r="175">
      <c r="B175" s="42"/>
      <c r="C175" s="42"/>
      <c r="D175" s="9"/>
      <c r="E175" s="9"/>
      <c r="F175" s="9"/>
      <c r="G175" s="9"/>
      <c r="H175" s="9"/>
    </row>
    <row r="176">
      <c r="B176" s="42"/>
      <c r="C176" s="42"/>
      <c r="D176" s="9"/>
      <c r="E176" s="9"/>
      <c r="F176" s="9"/>
      <c r="G176" s="9"/>
      <c r="H176" s="9"/>
    </row>
    <row r="177">
      <c r="B177" s="42"/>
      <c r="C177" s="42"/>
      <c r="D177" s="9"/>
      <c r="E177" s="9"/>
      <c r="F177" s="9"/>
      <c r="G177" s="9"/>
      <c r="H177" s="9"/>
    </row>
    <row r="178">
      <c r="B178" s="42"/>
      <c r="C178" s="42"/>
      <c r="D178" s="9"/>
      <c r="E178" s="9"/>
      <c r="F178" s="9"/>
      <c r="G178" s="9"/>
      <c r="H178" s="9"/>
    </row>
    <row r="179">
      <c r="B179" s="42"/>
      <c r="C179" s="42"/>
      <c r="D179" s="9"/>
      <c r="E179" s="9"/>
      <c r="F179" s="9"/>
      <c r="G179" s="9"/>
      <c r="H179" s="9"/>
    </row>
    <row r="180">
      <c r="B180" s="42"/>
      <c r="C180" s="42"/>
      <c r="D180" s="9"/>
      <c r="E180" s="9"/>
      <c r="F180" s="9"/>
      <c r="G180" s="9"/>
      <c r="H180" s="9"/>
    </row>
    <row r="181">
      <c r="B181" s="42"/>
      <c r="C181" s="42"/>
      <c r="D181" s="9"/>
      <c r="E181" s="9"/>
      <c r="F181" s="9"/>
      <c r="G181" s="9"/>
      <c r="H181" s="9"/>
    </row>
    <row r="182">
      <c r="B182" s="42"/>
      <c r="C182" s="42"/>
      <c r="D182" s="9"/>
      <c r="E182" s="9"/>
      <c r="F182" s="9"/>
      <c r="G182" s="9"/>
      <c r="H182" s="9"/>
    </row>
    <row r="183">
      <c r="B183" s="42"/>
      <c r="C183" s="42"/>
      <c r="D183" s="9"/>
      <c r="E183" s="9"/>
      <c r="F183" s="9"/>
      <c r="G183" s="9"/>
      <c r="H183" s="9"/>
    </row>
    <row r="184">
      <c r="B184" s="42"/>
      <c r="C184" s="42"/>
      <c r="D184" s="9"/>
      <c r="E184" s="9"/>
      <c r="F184" s="9"/>
      <c r="G184" s="9"/>
      <c r="H184" s="9"/>
    </row>
    <row r="185">
      <c r="B185" s="42"/>
      <c r="C185" s="42"/>
      <c r="D185" s="9"/>
      <c r="E185" s="9"/>
      <c r="F185" s="9"/>
      <c r="G185" s="9"/>
      <c r="H185" s="9"/>
    </row>
    <row r="186">
      <c r="B186" s="42"/>
      <c r="C186" s="42"/>
      <c r="D186" s="9"/>
      <c r="E186" s="9"/>
      <c r="F186" s="9"/>
      <c r="G186" s="9"/>
      <c r="H186" s="9"/>
    </row>
    <row r="187">
      <c r="B187" s="42"/>
      <c r="C187" s="42"/>
      <c r="D187" s="9"/>
      <c r="E187" s="9"/>
      <c r="F187" s="9"/>
      <c r="G187" s="9"/>
      <c r="H187" s="9"/>
    </row>
    <row r="188">
      <c r="B188" s="42"/>
      <c r="C188" s="42"/>
      <c r="D188" s="9"/>
      <c r="E188" s="9"/>
      <c r="F188" s="9"/>
      <c r="G188" s="9"/>
      <c r="H188" s="9"/>
    </row>
    <row r="189">
      <c r="B189" s="42"/>
      <c r="C189" s="42"/>
      <c r="D189" s="9"/>
      <c r="E189" s="9"/>
      <c r="F189" s="9"/>
      <c r="G189" s="9"/>
      <c r="H189" s="9"/>
    </row>
    <row r="190">
      <c r="B190" s="42"/>
      <c r="C190" s="42"/>
      <c r="D190" s="9"/>
      <c r="E190" s="9"/>
      <c r="F190" s="9"/>
      <c r="G190" s="9"/>
      <c r="H190" s="9"/>
    </row>
    <row r="191">
      <c r="B191" s="42"/>
      <c r="C191" s="42"/>
      <c r="D191" s="9"/>
      <c r="E191" s="9"/>
      <c r="F191" s="9"/>
      <c r="G191" s="9"/>
      <c r="H191" s="9"/>
    </row>
    <row r="192">
      <c r="B192" s="42"/>
      <c r="C192" s="42"/>
      <c r="D192" s="9"/>
      <c r="E192" s="9"/>
      <c r="F192" s="9"/>
      <c r="G192" s="9"/>
      <c r="H192" s="9"/>
    </row>
    <row r="193">
      <c r="B193" s="42"/>
      <c r="C193" s="42"/>
      <c r="D193" s="9"/>
      <c r="E193" s="9"/>
      <c r="F193" s="9"/>
      <c r="G193" s="9"/>
      <c r="H193" s="9"/>
    </row>
    <row r="194">
      <c r="B194" s="42"/>
      <c r="C194" s="42"/>
      <c r="D194" s="9"/>
      <c r="E194" s="9"/>
      <c r="F194" s="9"/>
      <c r="G194" s="9"/>
      <c r="H194" s="9"/>
    </row>
    <row r="195">
      <c r="B195" s="42"/>
      <c r="C195" s="42"/>
      <c r="D195" s="9"/>
      <c r="E195" s="9"/>
      <c r="F195" s="9"/>
      <c r="G195" s="9"/>
      <c r="H195" s="9"/>
    </row>
    <row r="196">
      <c r="B196" s="42"/>
      <c r="C196" s="42"/>
      <c r="D196" s="9"/>
      <c r="E196" s="9"/>
      <c r="F196" s="9"/>
      <c r="G196" s="9"/>
      <c r="H196" s="9"/>
    </row>
    <row r="197">
      <c r="B197" s="42"/>
      <c r="C197" s="42"/>
      <c r="D197" s="9"/>
      <c r="E197" s="9"/>
      <c r="F197" s="9"/>
      <c r="G197" s="9"/>
      <c r="H197" s="9"/>
    </row>
    <row r="198">
      <c r="B198" s="42"/>
      <c r="C198" s="42"/>
      <c r="D198" s="9"/>
      <c r="E198" s="9"/>
      <c r="F198" s="9"/>
      <c r="G198" s="9"/>
      <c r="H198" s="9"/>
    </row>
    <row r="199">
      <c r="B199" s="42"/>
      <c r="C199" s="42"/>
      <c r="D199" s="9"/>
      <c r="E199" s="9"/>
      <c r="F199" s="9"/>
      <c r="G199" s="9"/>
      <c r="H199" s="9"/>
    </row>
    <row r="200">
      <c r="B200" s="42"/>
      <c r="C200" s="42"/>
      <c r="D200" s="9"/>
      <c r="E200" s="9"/>
      <c r="F200" s="9"/>
      <c r="G200" s="9"/>
      <c r="H200" s="9"/>
    </row>
    <row r="201">
      <c r="B201" s="42"/>
      <c r="C201" s="42"/>
      <c r="D201" s="9"/>
      <c r="E201" s="9"/>
      <c r="F201" s="9"/>
      <c r="G201" s="9"/>
      <c r="H201" s="9"/>
    </row>
    <row r="202">
      <c r="B202" s="42"/>
      <c r="C202" s="42"/>
      <c r="D202" s="9"/>
      <c r="E202" s="9"/>
      <c r="F202" s="9"/>
      <c r="G202" s="9"/>
      <c r="H202" s="9"/>
    </row>
    <row r="203">
      <c r="B203" s="42"/>
      <c r="C203" s="42"/>
      <c r="D203" s="9"/>
      <c r="E203" s="9"/>
      <c r="F203" s="9"/>
      <c r="G203" s="9"/>
      <c r="H203" s="9"/>
    </row>
    <row r="204">
      <c r="B204" s="42"/>
      <c r="C204" s="42"/>
      <c r="D204" s="9"/>
      <c r="E204" s="9"/>
      <c r="F204" s="9"/>
      <c r="G204" s="9"/>
      <c r="H204" s="9"/>
    </row>
    <row r="205">
      <c r="B205" s="42"/>
      <c r="C205" s="42"/>
      <c r="D205" s="9"/>
      <c r="E205" s="9"/>
      <c r="F205" s="9"/>
      <c r="G205" s="9"/>
      <c r="H205" s="9"/>
    </row>
    <row r="206">
      <c r="B206" s="42"/>
      <c r="C206" s="42"/>
      <c r="D206" s="9"/>
      <c r="E206" s="9"/>
      <c r="F206" s="9"/>
      <c r="G206" s="9"/>
      <c r="H206" s="9"/>
    </row>
    <row r="207">
      <c r="B207" s="42"/>
      <c r="C207" s="42"/>
      <c r="D207" s="9"/>
      <c r="E207" s="9"/>
      <c r="F207" s="9"/>
      <c r="G207" s="9"/>
      <c r="H207" s="9"/>
    </row>
    <row r="208">
      <c r="B208" s="42"/>
      <c r="C208" s="42"/>
      <c r="D208" s="9"/>
      <c r="E208" s="9"/>
      <c r="F208" s="9"/>
      <c r="G208" s="9"/>
      <c r="H208" s="9"/>
    </row>
    <row r="209">
      <c r="B209" s="42"/>
      <c r="C209" s="42"/>
      <c r="D209" s="9"/>
      <c r="E209" s="9"/>
      <c r="F209" s="9"/>
      <c r="G209" s="9"/>
      <c r="H209" s="9"/>
    </row>
    <row r="210">
      <c r="B210" s="42"/>
      <c r="C210" s="42"/>
      <c r="D210" s="9"/>
      <c r="E210" s="9"/>
      <c r="F210" s="9"/>
      <c r="G210" s="9"/>
      <c r="H210" s="9"/>
    </row>
    <row r="211">
      <c r="B211" s="42"/>
      <c r="C211" s="42"/>
      <c r="D211" s="9"/>
      <c r="E211" s="9"/>
      <c r="F211" s="9"/>
      <c r="G211" s="9"/>
      <c r="H211" s="9"/>
    </row>
    <row r="212">
      <c r="B212" s="42"/>
      <c r="C212" s="42"/>
      <c r="D212" s="9"/>
      <c r="E212" s="9"/>
      <c r="F212" s="9"/>
      <c r="G212" s="9"/>
      <c r="H212" s="9"/>
    </row>
    <row r="213">
      <c r="B213" s="42"/>
      <c r="C213" s="42"/>
      <c r="D213" s="9"/>
      <c r="E213" s="9"/>
      <c r="F213" s="9"/>
      <c r="G213" s="9"/>
      <c r="H213" s="9"/>
    </row>
    <row r="214">
      <c r="B214" s="42"/>
      <c r="C214" s="42"/>
      <c r="D214" s="9"/>
      <c r="E214" s="9"/>
      <c r="F214" s="9"/>
      <c r="G214" s="9"/>
      <c r="H214" s="9"/>
    </row>
    <row r="215">
      <c r="B215" s="42"/>
      <c r="C215" s="42"/>
      <c r="D215" s="9"/>
      <c r="E215" s="9"/>
      <c r="F215" s="9"/>
      <c r="G215" s="9"/>
      <c r="H215" s="9"/>
    </row>
    <row r="216">
      <c r="B216" s="42"/>
      <c r="C216" s="42"/>
      <c r="D216" s="9"/>
      <c r="E216" s="9"/>
      <c r="F216" s="9"/>
      <c r="G216" s="9"/>
      <c r="H216" s="9"/>
    </row>
    <row r="217">
      <c r="B217" s="42"/>
      <c r="C217" s="42"/>
      <c r="D217" s="9"/>
      <c r="E217" s="9"/>
      <c r="F217" s="9"/>
      <c r="G217" s="9"/>
      <c r="H217" s="9"/>
    </row>
    <row r="218">
      <c r="B218" s="42"/>
      <c r="C218" s="42"/>
      <c r="D218" s="9"/>
      <c r="E218" s="9"/>
      <c r="F218" s="9"/>
      <c r="G218" s="9"/>
      <c r="H218" s="9"/>
    </row>
    <row r="219">
      <c r="B219" s="42"/>
      <c r="C219" s="42"/>
      <c r="D219" s="9"/>
      <c r="E219" s="9"/>
      <c r="F219" s="9"/>
      <c r="G219" s="9"/>
      <c r="H219" s="9"/>
    </row>
    <row r="220">
      <c r="B220" s="42"/>
      <c r="C220" s="42"/>
      <c r="D220" s="9"/>
      <c r="E220" s="9"/>
      <c r="F220" s="9"/>
      <c r="G220" s="9"/>
      <c r="H220" s="9"/>
    </row>
    <row r="221">
      <c r="B221" s="42"/>
      <c r="C221" s="42"/>
      <c r="D221" s="9"/>
      <c r="E221" s="9"/>
      <c r="F221" s="9"/>
      <c r="G221" s="9"/>
      <c r="H221" s="9"/>
    </row>
    <row r="222">
      <c r="B222" s="42"/>
      <c r="C222" s="42"/>
      <c r="D222" s="9"/>
      <c r="E222" s="9"/>
      <c r="F222" s="9"/>
      <c r="G222" s="9"/>
      <c r="H222" s="9"/>
    </row>
    <row r="223">
      <c r="B223" s="42"/>
      <c r="C223" s="42"/>
      <c r="D223" s="9"/>
      <c r="E223" s="9"/>
      <c r="F223" s="9"/>
      <c r="G223" s="9"/>
      <c r="H223" s="9"/>
    </row>
    <row r="224">
      <c r="B224" s="42"/>
      <c r="C224" s="42"/>
      <c r="D224" s="9"/>
      <c r="E224" s="9"/>
      <c r="F224" s="9"/>
      <c r="G224" s="9"/>
      <c r="H224" s="9"/>
    </row>
    <row r="225">
      <c r="B225" s="42"/>
      <c r="C225" s="42"/>
      <c r="D225" s="9"/>
      <c r="E225" s="9"/>
      <c r="F225" s="9"/>
      <c r="G225" s="9"/>
      <c r="H225" s="9"/>
    </row>
    <row r="226">
      <c r="B226" s="42"/>
      <c r="C226" s="42"/>
      <c r="D226" s="9"/>
      <c r="E226" s="9"/>
      <c r="F226" s="9"/>
      <c r="G226" s="9"/>
      <c r="H226" s="9"/>
    </row>
    <row r="227">
      <c r="B227" s="42"/>
      <c r="C227" s="42"/>
      <c r="D227" s="9"/>
      <c r="E227" s="9"/>
      <c r="F227" s="9"/>
      <c r="G227" s="9"/>
      <c r="H227" s="9"/>
    </row>
    <row r="228">
      <c r="B228" s="42"/>
      <c r="C228" s="42"/>
      <c r="D228" s="9"/>
      <c r="E228" s="9"/>
      <c r="F228" s="9"/>
      <c r="G228" s="9"/>
      <c r="H228" s="9"/>
    </row>
    <row r="229">
      <c r="B229" s="42"/>
      <c r="C229" s="42"/>
      <c r="D229" s="9"/>
      <c r="E229" s="9"/>
      <c r="F229" s="9"/>
      <c r="G229" s="9"/>
      <c r="H229" s="9"/>
    </row>
    <row r="230">
      <c r="B230" s="42"/>
      <c r="C230" s="42"/>
      <c r="D230" s="9"/>
      <c r="E230" s="9"/>
      <c r="F230" s="9"/>
      <c r="G230" s="9"/>
      <c r="H230" s="9"/>
    </row>
    <row r="231">
      <c r="B231" s="42"/>
      <c r="C231" s="42"/>
      <c r="D231" s="9"/>
      <c r="E231" s="9"/>
      <c r="F231" s="9"/>
      <c r="G231" s="9"/>
      <c r="H231" s="9"/>
    </row>
    <row r="232">
      <c r="B232" s="42"/>
      <c r="C232" s="42"/>
      <c r="D232" s="9"/>
      <c r="E232" s="9"/>
      <c r="F232" s="9"/>
      <c r="G232" s="9"/>
      <c r="H232" s="9"/>
    </row>
    <row r="233">
      <c r="B233" s="42"/>
      <c r="C233" s="42"/>
      <c r="D233" s="9"/>
      <c r="E233" s="9"/>
      <c r="F233" s="9"/>
      <c r="G233" s="9"/>
      <c r="H233" s="9"/>
    </row>
    <row r="234">
      <c r="B234" s="42"/>
      <c r="C234" s="42"/>
      <c r="D234" s="9"/>
      <c r="E234" s="9"/>
      <c r="F234" s="9"/>
      <c r="G234" s="9"/>
      <c r="H234" s="9"/>
    </row>
    <row r="235">
      <c r="B235" s="42"/>
      <c r="C235" s="42"/>
      <c r="D235" s="9"/>
      <c r="E235" s="9"/>
      <c r="F235" s="9"/>
      <c r="G235" s="9"/>
      <c r="H235" s="9"/>
    </row>
    <row r="236">
      <c r="B236" s="42"/>
      <c r="C236" s="42"/>
      <c r="D236" s="9"/>
      <c r="E236" s="9"/>
      <c r="F236" s="9"/>
      <c r="G236" s="9"/>
      <c r="H236" s="9"/>
    </row>
    <row r="237">
      <c r="B237" s="42"/>
      <c r="C237" s="42"/>
      <c r="D237" s="9"/>
      <c r="E237" s="9"/>
      <c r="F237" s="9"/>
      <c r="G237" s="9"/>
      <c r="H237" s="9"/>
    </row>
    <row r="238">
      <c r="B238" s="42"/>
      <c r="C238" s="42"/>
      <c r="D238" s="9"/>
      <c r="E238" s="9"/>
      <c r="F238" s="9"/>
      <c r="G238" s="9"/>
      <c r="H238" s="9"/>
    </row>
    <row r="239">
      <c r="B239" s="42"/>
      <c r="C239" s="42"/>
      <c r="D239" s="9"/>
      <c r="E239" s="9"/>
      <c r="F239" s="9"/>
      <c r="G239" s="9"/>
      <c r="H239" s="9"/>
    </row>
    <row r="240">
      <c r="B240" s="42"/>
      <c r="C240" s="42"/>
      <c r="D240" s="9"/>
      <c r="E240" s="9"/>
      <c r="F240" s="9"/>
      <c r="G240" s="9"/>
      <c r="H240" s="9"/>
    </row>
    <row r="241">
      <c r="B241" s="42"/>
      <c r="C241" s="42"/>
      <c r="D241" s="9"/>
      <c r="E241" s="9"/>
      <c r="F241" s="9"/>
      <c r="G241" s="9"/>
      <c r="H241" s="9"/>
    </row>
    <row r="242">
      <c r="B242" s="42"/>
      <c r="C242" s="42"/>
      <c r="D242" s="9"/>
      <c r="E242" s="9"/>
      <c r="F242" s="9"/>
      <c r="G242" s="9"/>
      <c r="H242" s="9"/>
    </row>
    <row r="243">
      <c r="B243" s="42"/>
      <c r="C243" s="42"/>
      <c r="D243" s="9"/>
      <c r="E243" s="9"/>
      <c r="F243" s="9"/>
      <c r="G243" s="9"/>
      <c r="H243" s="9"/>
    </row>
    <row r="244">
      <c r="B244" s="42"/>
      <c r="C244" s="42"/>
      <c r="D244" s="9"/>
      <c r="E244" s="9"/>
      <c r="F244" s="9"/>
      <c r="G244" s="9"/>
      <c r="H244" s="9"/>
    </row>
    <row r="245">
      <c r="B245" s="42"/>
      <c r="C245" s="42"/>
      <c r="D245" s="9"/>
      <c r="E245" s="9"/>
      <c r="F245" s="9"/>
      <c r="G245" s="9"/>
      <c r="H245" s="9"/>
    </row>
    <row r="246">
      <c r="B246" s="42"/>
      <c r="C246" s="42"/>
      <c r="D246" s="9"/>
      <c r="E246" s="9"/>
      <c r="F246" s="9"/>
      <c r="G246" s="9"/>
      <c r="H246" s="9"/>
    </row>
    <row r="247">
      <c r="B247" s="42"/>
      <c r="C247" s="42"/>
      <c r="D247" s="9"/>
      <c r="E247" s="9"/>
      <c r="F247" s="9"/>
      <c r="G247" s="9"/>
      <c r="H247" s="9"/>
    </row>
    <row r="248">
      <c r="B248" s="42"/>
      <c r="C248" s="42"/>
      <c r="D248" s="9"/>
      <c r="E248" s="9"/>
      <c r="F248" s="9"/>
      <c r="G248" s="9"/>
      <c r="H248" s="9"/>
    </row>
    <row r="249">
      <c r="B249" s="42"/>
      <c r="C249" s="42"/>
      <c r="D249" s="9"/>
      <c r="E249" s="9"/>
      <c r="F249" s="9"/>
      <c r="G249" s="9"/>
      <c r="H249" s="9"/>
    </row>
    <row r="250">
      <c r="B250" s="42"/>
      <c r="C250" s="42"/>
      <c r="D250" s="9"/>
      <c r="E250" s="9"/>
      <c r="F250" s="9"/>
      <c r="G250" s="9"/>
      <c r="H250" s="9"/>
    </row>
    <row r="251">
      <c r="B251" s="42"/>
      <c r="C251" s="42"/>
      <c r="D251" s="9"/>
      <c r="E251" s="9"/>
      <c r="F251" s="9"/>
      <c r="G251" s="9"/>
      <c r="H251" s="9"/>
    </row>
    <row r="252">
      <c r="B252" s="42"/>
      <c r="C252" s="42"/>
      <c r="D252" s="9"/>
      <c r="E252" s="9"/>
      <c r="F252" s="9"/>
      <c r="G252" s="9"/>
      <c r="H252" s="9"/>
    </row>
    <row r="253">
      <c r="B253" s="42"/>
      <c r="C253" s="42"/>
      <c r="D253" s="9"/>
      <c r="E253" s="9"/>
      <c r="F253" s="9"/>
      <c r="G253" s="9"/>
      <c r="H253" s="9"/>
    </row>
    <row r="254">
      <c r="B254" s="42"/>
      <c r="C254" s="42"/>
      <c r="D254" s="9"/>
      <c r="E254" s="9"/>
      <c r="F254" s="9"/>
      <c r="G254" s="9"/>
      <c r="H254" s="9"/>
    </row>
    <row r="255">
      <c r="B255" s="42"/>
      <c r="C255" s="42"/>
      <c r="D255" s="9"/>
      <c r="E255" s="9"/>
      <c r="F255" s="9"/>
      <c r="G255" s="9"/>
      <c r="H255" s="9"/>
    </row>
    <row r="256">
      <c r="B256" s="42"/>
      <c r="C256" s="42"/>
      <c r="D256" s="9"/>
      <c r="E256" s="9"/>
      <c r="F256" s="9"/>
      <c r="G256" s="9"/>
      <c r="H256" s="9"/>
    </row>
    <row r="257">
      <c r="B257" s="42"/>
      <c r="C257" s="42"/>
      <c r="D257" s="9"/>
      <c r="E257" s="9"/>
      <c r="F257" s="9"/>
      <c r="G257" s="9"/>
      <c r="H257" s="9"/>
    </row>
    <row r="258">
      <c r="B258" s="42"/>
      <c r="C258" s="42"/>
      <c r="D258" s="9"/>
      <c r="E258" s="9"/>
      <c r="F258" s="9"/>
      <c r="G258" s="9"/>
      <c r="H258" s="9"/>
    </row>
    <row r="259">
      <c r="B259" s="42"/>
      <c r="C259" s="42"/>
      <c r="D259" s="9"/>
      <c r="E259" s="9"/>
      <c r="F259" s="9"/>
      <c r="G259" s="9"/>
      <c r="H259" s="9"/>
    </row>
    <row r="260">
      <c r="B260" s="42"/>
      <c r="C260" s="42"/>
      <c r="D260" s="9"/>
      <c r="E260" s="9"/>
      <c r="F260" s="9"/>
      <c r="G260" s="9"/>
      <c r="H260" s="9"/>
    </row>
    <row r="261">
      <c r="B261" s="42"/>
      <c r="C261" s="42"/>
      <c r="D261" s="9"/>
      <c r="E261" s="9"/>
      <c r="F261" s="9"/>
      <c r="G261" s="9"/>
      <c r="H261" s="9"/>
    </row>
    <row r="262">
      <c r="B262" s="42"/>
      <c r="C262" s="42"/>
      <c r="D262" s="9"/>
      <c r="E262" s="9"/>
      <c r="F262" s="9"/>
      <c r="G262" s="9"/>
      <c r="H262" s="9"/>
    </row>
    <row r="263">
      <c r="B263" s="42"/>
      <c r="C263" s="42"/>
      <c r="D263" s="9"/>
      <c r="E263" s="9"/>
      <c r="F263" s="9"/>
      <c r="G263" s="9"/>
      <c r="H263" s="9"/>
    </row>
    <row r="264">
      <c r="B264" s="42"/>
      <c r="C264" s="42"/>
      <c r="D264" s="9"/>
      <c r="E264" s="9"/>
      <c r="F264" s="9"/>
      <c r="G264" s="9"/>
      <c r="H264" s="9"/>
    </row>
    <row r="265">
      <c r="B265" s="42"/>
      <c r="C265" s="42"/>
      <c r="D265" s="9"/>
      <c r="E265" s="9"/>
      <c r="F265" s="9"/>
      <c r="G265" s="9"/>
      <c r="H265" s="9"/>
    </row>
    <row r="266">
      <c r="B266" s="42"/>
      <c r="C266" s="42"/>
      <c r="D266" s="9"/>
      <c r="E266" s="9"/>
      <c r="F266" s="9"/>
      <c r="G266" s="9"/>
      <c r="H266" s="9"/>
    </row>
    <row r="267">
      <c r="B267" s="42"/>
      <c r="C267" s="42"/>
      <c r="D267" s="9"/>
      <c r="E267" s="9"/>
      <c r="F267" s="9"/>
      <c r="G267" s="9"/>
      <c r="H267" s="9"/>
    </row>
    <row r="268">
      <c r="B268" s="42"/>
      <c r="C268" s="42"/>
      <c r="D268" s="9"/>
      <c r="E268" s="9"/>
      <c r="F268" s="9"/>
      <c r="G268" s="9"/>
      <c r="H268" s="9"/>
    </row>
    <row r="269">
      <c r="B269" s="42"/>
      <c r="C269" s="42"/>
      <c r="D269" s="9"/>
      <c r="E269" s="9"/>
      <c r="F269" s="9"/>
      <c r="G269" s="9"/>
      <c r="H269" s="9"/>
    </row>
    <row r="270">
      <c r="B270" s="42"/>
      <c r="C270" s="42"/>
      <c r="D270" s="9"/>
      <c r="E270" s="9"/>
      <c r="F270" s="9"/>
      <c r="G270" s="9"/>
      <c r="H270" s="9"/>
    </row>
    <row r="271">
      <c r="B271" s="42"/>
      <c r="C271" s="42"/>
      <c r="D271" s="9"/>
      <c r="E271" s="9"/>
      <c r="F271" s="9"/>
      <c r="G271" s="9"/>
      <c r="H271" s="9"/>
    </row>
    <row r="272">
      <c r="B272" s="42"/>
      <c r="C272" s="42"/>
      <c r="D272" s="9"/>
      <c r="E272" s="9"/>
      <c r="F272" s="9"/>
      <c r="G272" s="9"/>
      <c r="H272" s="9"/>
    </row>
    <row r="273">
      <c r="B273" s="42"/>
      <c r="C273" s="42"/>
      <c r="D273" s="9"/>
      <c r="E273" s="9"/>
      <c r="F273" s="9"/>
      <c r="G273" s="9"/>
      <c r="H273" s="9"/>
    </row>
    <row r="274">
      <c r="B274" s="42"/>
      <c r="C274" s="42"/>
      <c r="D274" s="9"/>
      <c r="E274" s="9"/>
      <c r="F274" s="9"/>
      <c r="G274" s="9"/>
      <c r="H274" s="9"/>
    </row>
    <row r="275">
      <c r="B275" s="42"/>
      <c r="C275" s="42"/>
      <c r="D275" s="9"/>
      <c r="E275" s="9"/>
      <c r="F275" s="9"/>
      <c r="G275" s="9"/>
      <c r="H275" s="9"/>
    </row>
    <row r="276">
      <c r="B276" s="42"/>
      <c r="C276" s="42"/>
      <c r="D276" s="9"/>
      <c r="E276" s="9"/>
      <c r="F276" s="9"/>
      <c r="G276" s="9"/>
      <c r="H276" s="9"/>
    </row>
    <row r="277">
      <c r="B277" s="42"/>
      <c r="C277" s="42"/>
      <c r="D277" s="9"/>
      <c r="E277" s="9"/>
      <c r="F277" s="9"/>
      <c r="G277" s="9"/>
      <c r="H277" s="9"/>
    </row>
    <row r="278">
      <c r="B278" s="42"/>
      <c r="C278" s="42"/>
      <c r="D278" s="9"/>
      <c r="E278" s="9"/>
      <c r="F278" s="9"/>
      <c r="G278" s="9"/>
      <c r="H278" s="9"/>
    </row>
    <row r="279">
      <c r="B279" s="42"/>
      <c r="C279" s="42"/>
      <c r="D279" s="9"/>
      <c r="E279" s="9"/>
      <c r="F279" s="9"/>
      <c r="G279" s="9"/>
      <c r="H279" s="9"/>
    </row>
    <row r="280">
      <c r="B280" s="42"/>
      <c r="C280" s="42"/>
      <c r="D280" s="9"/>
      <c r="E280" s="9"/>
      <c r="F280" s="9"/>
      <c r="G280" s="9"/>
      <c r="H280" s="9"/>
    </row>
    <row r="281">
      <c r="B281" s="42"/>
      <c r="C281" s="42"/>
      <c r="D281" s="9"/>
      <c r="E281" s="9"/>
      <c r="F281" s="9"/>
      <c r="G281" s="9"/>
      <c r="H281" s="9"/>
    </row>
    <row r="282">
      <c r="B282" s="42"/>
      <c r="C282" s="42"/>
      <c r="D282" s="9"/>
      <c r="E282" s="9"/>
      <c r="F282" s="9"/>
      <c r="G282" s="9"/>
      <c r="H282" s="9"/>
    </row>
    <row r="283">
      <c r="B283" s="42"/>
      <c r="C283" s="42"/>
      <c r="D283" s="9"/>
      <c r="E283" s="9"/>
      <c r="F283" s="9"/>
      <c r="G283" s="9"/>
      <c r="H283" s="9"/>
    </row>
    <row r="284">
      <c r="B284" s="42"/>
      <c r="C284" s="42"/>
      <c r="D284" s="9"/>
      <c r="E284" s="9"/>
      <c r="F284" s="9"/>
      <c r="G284" s="9"/>
      <c r="H284" s="9"/>
    </row>
    <row r="285">
      <c r="B285" s="42"/>
      <c r="C285" s="42"/>
      <c r="D285" s="9"/>
      <c r="E285" s="9"/>
      <c r="F285" s="9"/>
      <c r="G285" s="9"/>
      <c r="H285" s="9"/>
    </row>
    <row r="286">
      <c r="B286" s="42"/>
      <c r="C286" s="42"/>
      <c r="D286" s="9"/>
      <c r="E286" s="9"/>
      <c r="F286" s="9"/>
      <c r="G286" s="9"/>
      <c r="H286" s="9"/>
    </row>
    <row r="287">
      <c r="B287" s="42"/>
      <c r="C287" s="42"/>
      <c r="D287" s="9"/>
      <c r="E287" s="9"/>
      <c r="F287" s="9"/>
      <c r="G287" s="9"/>
      <c r="H287" s="9"/>
    </row>
    <row r="288">
      <c r="B288" s="42"/>
      <c r="C288" s="42"/>
      <c r="D288" s="9"/>
      <c r="E288" s="9"/>
      <c r="F288" s="9"/>
      <c r="G288" s="9"/>
      <c r="H288" s="9"/>
    </row>
    <row r="289">
      <c r="B289" s="42"/>
      <c r="C289" s="42"/>
      <c r="D289" s="9"/>
      <c r="E289" s="9"/>
      <c r="F289" s="9"/>
      <c r="G289" s="9"/>
      <c r="H289" s="9"/>
    </row>
    <row r="290">
      <c r="B290" s="42"/>
      <c r="C290" s="42"/>
      <c r="D290" s="9"/>
      <c r="E290" s="9"/>
      <c r="F290" s="9"/>
      <c r="G290" s="9"/>
      <c r="H290" s="9"/>
    </row>
    <row r="291">
      <c r="B291" s="42"/>
      <c r="C291" s="42"/>
      <c r="D291" s="9"/>
      <c r="E291" s="9"/>
      <c r="F291" s="9"/>
      <c r="G291" s="9"/>
      <c r="H291" s="9"/>
    </row>
    <row r="292">
      <c r="B292" s="42"/>
      <c r="C292" s="42"/>
      <c r="D292" s="9"/>
      <c r="E292" s="9"/>
      <c r="F292" s="9"/>
      <c r="G292" s="9"/>
      <c r="H292" s="9"/>
    </row>
    <row r="293">
      <c r="B293" s="42"/>
      <c r="C293" s="42"/>
      <c r="D293" s="9"/>
      <c r="E293" s="9"/>
      <c r="F293" s="9"/>
      <c r="G293" s="9"/>
      <c r="H293" s="9"/>
    </row>
    <row r="294">
      <c r="B294" s="42"/>
      <c r="C294" s="42"/>
      <c r="D294" s="9"/>
      <c r="E294" s="9"/>
      <c r="F294" s="9"/>
      <c r="G294" s="9"/>
      <c r="H294" s="9"/>
    </row>
    <row r="295">
      <c r="B295" s="42"/>
      <c r="C295" s="42"/>
      <c r="D295" s="9"/>
      <c r="E295" s="9"/>
      <c r="F295" s="9"/>
      <c r="G295" s="9"/>
      <c r="H295" s="9"/>
    </row>
    <row r="296">
      <c r="B296" s="42"/>
      <c r="C296" s="42"/>
      <c r="D296" s="9"/>
      <c r="E296" s="9"/>
      <c r="F296" s="9"/>
      <c r="G296" s="9"/>
      <c r="H296" s="9"/>
    </row>
    <row r="297">
      <c r="B297" s="42"/>
      <c r="C297" s="42"/>
      <c r="D297" s="9"/>
      <c r="E297" s="9"/>
      <c r="F297" s="9"/>
      <c r="G297" s="9"/>
      <c r="H297" s="9"/>
    </row>
    <row r="298">
      <c r="B298" s="42"/>
      <c r="C298" s="42"/>
      <c r="D298" s="9"/>
      <c r="E298" s="9"/>
      <c r="F298" s="9"/>
      <c r="G298" s="9"/>
      <c r="H298" s="9"/>
    </row>
    <row r="299">
      <c r="B299" s="42"/>
      <c r="C299" s="42"/>
      <c r="D299" s="9"/>
      <c r="E299" s="9"/>
      <c r="F299" s="9"/>
      <c r="G299" s="9"/>
      <c r="H299" s="9"/>
    </row>
    <row r="300">
      <c r="B300" s="42"/>
      <c r="C300" s="42"/>
      <c r="D300" s="9"/>
      <c r="E300" s="9"/>
      <c r="F300" s="9"/>
      <c r="G300" s="9"/>
      <c r="H300" s="9"/>
    </row>
    <row r="301">
      <c r="B301" s="42"/>
      <c r="C301" s="42"/>
      <c r="D301" s="9"/>
      <c r="E301" s="9"/>
      <c r="F301" s="9"/>
      <c r="G301" s="9"/>
      <c r="H301" s="9"/>
    </row>
    <row r="302">
      <c r="B302" s="42"/>
      <c r="C302" s="42"/>
      <c r="D302" s="9"/>
      <c r="E302" s="9"/>
      <c r="F302" s="9"/>
      <c r="G302" s="9"/>
      <c r="H302" s="9"/>
    </row>
    <row r="303">
      <c r="B303" s="42"/>
      <c r="C303" s="42"/>
      <c r="D303" s="9"/>
      <c r="E303" s="9"/>
      <c r="F303" s="9"/>
      <c r="G303" s="9"/>
      <c r="H303" s="9"/>
    </row>
    <row r="304">
      <c r="B304" s="42"/>
      <c r="C304" s="42"/>
      <c r="D304" s="9"/>
      <c r="E304" s="9"/>
      <c r="F304" s="9"/>
      <c r="G304" s="9"/>
      <c r="H304" s="9"/>
    </row>
    <row r="305">
      <c r="B305" s="42"/>
      <c r="C305" s="42"/>
      <c r="D305" s="9"/>
      <c r="E305" s="9"/>
      <c r="F305" s="9"/>
      <c r="G305" s="9"/>
      <c r="H305" s="9"/>
    </row>
    <row r="306">
      <c r="B306" s="42"/>
      <c r="C306" s="42"/>
      <c r="D306" s="9"/>
      <c r="E306" s="9"/>
      <c r="F306" s="9"/>
      <c r="G306" s="9"/>
      <c r="H306" s="9"/>
    </row>
    <row r="307">
      <c r="B307" s="42"/>
      <c r="C307" s="42"/>
      <c r="D307" s="9"/>
      <c r="E307" s="9"/>
      <c r="F307" s="9"/>
      <c r="G307" s="9"/>
      <c r="H307" s="9"/>
    </row>
    <row r="308">
      <c r="B308" s="42"/>
      <c r="C308" s="42"/>
      <c r="D308" s="9"/>
      <c r="E308" s="9"/>
      <c r="F308" s="9"/>
      <c r="G308" s="9"/>
      <c r="H308" s="9"/>
    </row>
    <row r="309">
      <c r="B309" s="42"/>
      <c r="C309" s="42"/>
      <c r="D309" s="9"/>
      <c r="E309" s="9"/>
      <c r="F309" s="9"/>
      <c r="G309" s="9"/>
      <c r="H309" s="9"/>
    </row>
    <row r="310">
      <c r="B310" s="42"/>
      <c r="C310" s="42"/>
      <c r="D310" s="9"/>
      <c r="E310" s="9"/>
      <c r="F310" s="9"/>
      <c r="G310" s="9"/>
      <c r="H310" s="9"/>
    </row>
    <row r="311">
      <c r="B311" s="42"/>
      <c r="C311" s="42"/>
      <c r="D311" s="9"/>
      <c r="E311" s="9"/>
      <c r="F311" s="9"/>
      <c r="G311" s="9"/>
      <c r="H311" s="9"/>
    </row>
    <row r="312">
      <c r="B312" s="42"/>
      <c r="C312" s="42"/>
      <c r="D312" s="9"/>
      <c r="E312" s="9"/>
      <c r="F312" s="9"/>
      <c r="G312" s="9"/>
      <c r="H312" s="9"/>
    </row>
    <row r="313">
      <c r="B313" s="42"/>
      <c r="C313" s="42"/>
      <c r="D313" s="9"/>
      <c r="E313" s="9"/>
      <c r="F313" s="9"/>
      <c r="G313" s="9"/>
      <c r="H313" s="9"/>
    </row>
    <row r="314">
      <c r="B314" s="42"/>
      <c r="C314" s="42"/>
      <c r="D314" s="9"/>
      <c r="E314" s="9"/>
      <c r="F314" s="9"/>
      <c r="G314" s="9"/>
      <c r="H314" s="9"/>
    </row>
    <row r="315">
      <c r="B315" s="42"/>
      <c r="C315" s="42"/>
      <c r="D315" s="9"/>
      <c r="E315" s="9"/>
      <c r="F315" s="9"/>
      <c r="G315" s="9"/>
      <c r="H315" s="9"/>
    </row>
    <row r="316">
      <c r="B316" s="42"/>
      <c r="C316" s="42"/>
      <c r="D316" s="9"/>
      <c r="E316" s="9"/>
      <c r="F316" s="9"/>
      <c r="G316" s="9"/>
      <c r="H316" s="9"/>
    </row>
    <row r="317">
      <c r="B317" s="42"/>
      <c r="C317" s="42"/>
      <c r="D317" s="9"/>
      <c r="E317" s="9"/>
      <c r="F317" s="9"/>
      <c r="G317" s="9"/>
      <c r="H317" s="9"/>
    </row>
    <row r="318">
      <c r="B318" s="42"/>
      <c r="C318" s="42"/>
      <c r="D318" s="9"/>
      <c r="E318" s="9"/>
      <c r="F318" s="9"/>
      <c r="G318" s="9"/>
      <c r="H318" s="9"/>
    </row>
    <row r="319">
      <c r="B319" s="42"/>
      <c r="C319" s="42"/>
      <c r="D319" s="9"/>
      <c r="E319" s="9"/>
      <c r="F319" s="9"/>
      <c r="G319" s="9"/>
      <c r="H319" s="9"/>
    </row>
    <row r="320">
      <c r="B320" s="42"/>
      <c r="C320" s="42"/>
      <c r="D320" s="9"/>
      <c r="E320" s="9"/>
      <c r="F320" s="9"/>
      <c r="G320" s="9"/>
      <c r="H320" s="9"/>
    </row>
    <row r="321">
      <c r="B321" s="42"/>
      <c r="C321" s="42"/>
      <c r="D321" s="9"/>
      <c r="E321" s="9"/>
      <c r="F321" s="9"/>
      <c r="G321" s="9"/>
      <c r="H321" s="9"/>
    </row>
    <row r="322">
      <c r="B322" s="42"/>
      <c r="C322" s="42"/>
      <c r="D322" s="9"/>
      <c r="E322" s="9"/>
      <c r="F322" s="9"/>
      <c r="G322" s="9"/>
      <c r="H322" s="9"/>
    </row>
    <row r="323">
      <c r="B323" s="42"/>
      <c r="C323" s="42"/>
      <c r="D323" s="9"/>
      <c r="E323" s="9"/>
      <c r="F323" s="9"/>
      <c r="G323" s="9"/>
      <c r="H323" s="9"/>
    </row>
    <row r="324">
      <c r="B324" s="42"/>
      <c r="C324" s="42"/>
      <c r="D324" s="9"/>
      <c r="E324" s="9"/>
      <c r="F324" s="9"/>
      <c r="G324" s="9"/>
      <c r="H324" s="9"/>
    </row>
    <row r="325">
      <c r="B325" s="42"/>
      <c r="C325" s="42"/>
      <c r="D325" s="9"/>
      <c r="E325" s="9"/>
      <c r="F325" s="9"/>
      <c r="G325" s="9"/>
      <c r="H325" s="9"/>
    </row>
    <row r="326">
      <c r="B326" s="42"/>
      <c r="C326" s="42"/>
      <c r="D326" s="9"/>
      <c r="E326" s="9"/>
      <c r="F326" s="9"/>
      <c r="G326" s="9"/>
      <c r="H326" s="9"/>
    </row>
    <row r="327">
      <c r="B327" s="42"/>
      <c r="C327" s="42"/>
      <c r="D327" s="9"/>
      <c r="E327" s="9"/>
      <c r="F327" s="9"/>
      <c r="G327" s="9"/>
      <c r="H327" s="9"/>
    </row>
    <row r="328">
      <c r="B328" s="42"/>
      <c r="C328" s="42"/>
      <c r="D328" s="9"/>
      <c r="E328" s="9"/>
      <c r="F328" s="9"/>
      <c r="G328" s="9"/>
      <c r="H328" s="9"/>
    </row>
    <row r="329">
      <c r="B329" s="42"/>
      <c r="C329" s="42"/>
      <c r="D329" s="9"/>
      <c r="E329" s="9"/>
      <c r="F329" s="9"/>
      <c r="G329" s="9"/>
      <c r="H329" s="9"/>
    </row>
    <row r="330">
      <c r="B330" s="42"/>
      <c r="C330" s="42"/>
      <c r="D330" s="9"/>
      <c r="E330" s="9"/>
      <c r="F330" s="9"/>
      <c r="G330" s="9"/>
      <c r="H330" s="9"/>
    </row>
    <row r="331">
      <c r="B331" s="42"/>
      <c r="C331" s="42"/>
      <c r="D331" s="9"/>
      <c r="E331" s="9"/>
      <c r="F331" s="9"/>
      <c r="G331" s="9"/>
      <c r="H331" s="9"/>
    </row>
    <row r="332">
      <c r="B332" s="42"/>
      <c r="C332" s="42"/>
      <c r="D332" s="9"/>
      <c r="E332" s="9"/>
      <c r="F332" s="9"/>
      <c r="G332" s="9"/>
      <c r="H332" s="9"/>
    </row>
    <row r="333">
      <c r="B333" s="42"/>
      <c r="C333" s="42"/>
      <c r="D333" s="9"/>
      <c r="E333" s="9"/>
      <c r="F333" s="9"/>
      <c r="G333" s="9"/>
      <c r="H333" s="9"/>
    </row>
    <row r="334">
      <c r="B334" s="42"/>
      <c r="C334" s="42"/>
      <c r="D334" s="9"/>
      <c r="E334" s="9"/>
      <c r="F334" s="9"/>
      <c r="G334" s="9"/>
      <c r="H334" s="9"/>
    </row>
    <row r="335">
      <c r="B335" s="42"/>
      <c r="C335" s="42"/>
      <c r="D335" s="9"/>
      <c r="E335" s="9"/>
      <c r="F335" s="9"/>
      <c r="G335" s="9"/>
      <c r="H335" s="9"/>
    </row>
    <row r="336">
      <c r="B336" s="42"/>
      <c r="C336" s="42"/>
      <c r="D336" s="9"/>
      <c r="E336" s="9"/>
      <c r="F336" s="9"/>
      <c r="G336" s="9"/>
      <c r="H336" s="9"/>
    </row>
    <row r="337">
      <c r="B337" s="42"/>
      <c r="C337" s="42"/>
      <c r="D337" s="9"/>
      <c r="E337" s="9"/>
      <c r="F337" s="9"/>
      <c r="G337" s="9"/>
      <c r="H337" s="9"/>
    </row>
    <row r="338">
      <c r="B338" s="42"/>
      <c r="C338" s="42"/>
      <c r="D338" s="9"/>
      <c r="E338" s="9"/>
      <c r="F338" s="9"/>
      <c r="G338" s="9"/>
      <c r="H338" s="9"/>
    </row>
    <row r="339">
      <c r="B339" s="42"/>
      <c r="C339" s="42"/>
      <c r="D339" s="9"/>
      <c r="E339" s="9"/>
      <c r="F339" s="9"/>
      <c r="G339" s="9"/>
      <c r="H339" s="9"/>
    </row>
    <row r="340">
      <c r="B340" s="42"/>
      <c r="C340" s="42"/>
      <c r="D340" s="9"/>
      <c r="E340" s="9"/>
      <c r="F340" s="9"/>
      <c r="G340" s="9"/>
      <c r="H340" s="9"/>
    </row>
    <row r="341">
      <c r="B341" s="42"/>
      <c r="C341" s="42"/>
      <c r="D341" s="9"/>
      <c r="E341" s="9"/>
      <c r="F341" s="9"/>
      <c r="G341" s="9"/>
      <c r="H341" s="9"/>
    </row>
    <row r="342">
      <c r="B342" s="42"/>
      <c r="C342" s="42"/>
      <c r="D342" s="9"/>
      <c r="E342" s="9"/>
      <c r="F342" s="9"/>
      <c r="G342" s="9"/>
      <c r="H342" s="9"/>
    </row>
    <row r="343">
      <c r="B343" s="42"/>
      <c r="C343" s="42"/>
      <c r="D343" s="9"/>
      <c r="E343" s="9"/>
      <c r="F343" s="9"/>
      <c r="G343" s="9"/>
      <c r="H343" s="9"/>
    </row>
    <row r="344">
      <c r="B344" s="42"/>
      <c r="C344" s="42"/>
      <c r="D344" s="9"/>
      <c r="E344" s="9"/>
      <c r="F344" s="9"/>
      <c r="G344" s="9"/>
      <c r="H344" s="9"/>
    </row>
    <row r="345">
      <c r="B345" s="42"/>
      <c r="C345" s="42"/>
      <c r="D345" s="9"/>
      <c r="E345" s="9"/>
      <c r="F345" s="9"/>
      <c r="G345" s="9"/>
      <c r="H345" s="9"/>
    </row>
    <row r="346">
      <c r="B346" s="42"/>
      <c r="C346" s="42"/>
      <c r="D346" s="9"/>
      <c r="E346" s="9"/>
      <c r="F346" s="9"/>
      <c r="G346" s="9"/>
      <c r="H346" s="9"/>
    </row>
    <row r="347">
      <c r="B347" s="42"/>
      <c r="C347" s="42"/>
      <c r="D347" s="9"/>
      <c r="E347" s="9"/>
      <c r="F347" s="9"/>
      <c r="G347" s="9"/>
      <c r="H347" s="9"/>
    </row>
    <row r="348">
      <c r="B348" s="42"/>
      <c r="C348" s="42"/>
      <c r="D348" s="9"/>
      <c r="E348" s="9"/>
      <c r="F348" s="9"/>
      <c r="G348" s="9"/>
      <c r="H348" s="9"/>
    </row>
    <row r="349">
      <c r="B349" s="42"/>
      <c r="C349" s="42"/>
      <c r="D349" s="9"/>
      <c r="E349" s="9"/>
      <c r="F349" s="9"/>
      <c r="G349" s="9"/>
      <c r="H349" s="9"/>
    </row>
    <row r="350">
      <c r="B350" s="42"/>
      <c r="C350" s="42"/>
      <c r="D350" s="9"/>
      <c r="E350" s="9"/>
      <c r="F350" s="9"/>
      <c r="G350" s="9"/>
      <c r="H350" s="9"/>
    </row>
    <row r="351">
      <c r="B351" s="42"/>
      <c r="C351" s="42"/>
      <c r="D351" s="9"/>
      <c r="E351" s="9"/>
      <c r="F351" s="9"/>
      <c r="G351" s="9"/>
      <c r="H351" s="9"/>
    </row>
    <row r="352">
      <c r="B352" s="42"/>
      <c r="C352" s="42"/>
      <c r="D352" s="9"/>
      <c r="E352" s="9"/>
      <c r="F352" s="9"/>
      <c r="G352" s="9"/>
      <c r="H352" s="9"/>
    </row>
    <row r="353">
      <c r="B353" s="42"/>
      <c r="C353" s="42"/>
      <c r="D353" s="9"/>
      <c r="E353" s="9"/>
      <c r="F353" s="9"/>
      <c r="G353" s="9"/>
      <c r="H353" s="9"/>
    </row>
    <row r="354">
      <c r="B354" s="42"/>
      <c r="C354" s="42"/>
      <c r="D354" s="9"/>
      <c r="E354" s="9"/>
      <c r="F354" s="9"/>
      <c r="G354" s="9"/>
      <c r="H354" s="9"/>
    </row>
    <row r="355">
      <c r="B355" s="42"/>
      <c r="C355" s="42"/>
      <c r="D355" s="9"/>
      <c r="E355" s="9"/>
      <c r="F355" s="9"/>
      <c r="G355" s="9"/>
      <c r="H355" s="9"/>
    </row>
    <row r="356">
      <c r="B356" s="42"/>
      <c r="C356" s="42"/>
      <c r="D356" s="9"/>
      <c r="E356" s="9"/>
      <c r="F356" s="9"/>
      <c r="G356" s="9"/>
      <c r="H356" s="9"/>
    </row>
    <row r="357">
      <c r="B357" s="42"/>
      <c r="C357" s="42"/>
      <c r="D357" s="9"/>
      <c r="E357" s="9"/>
      <c r="F357" s="9"/>
      <c r="G357" s="9"/>
      <c r="H357" s="9"/>
    </row>
    <row r="358">
      <c r="B358" s="42"/>
      <c r="C358" s="42"/>
      <c r="D358" s="9"/>
      <c r="E358" s="9"/>
      <c r="F358" s="9"/>
      <c r="G358" s="9"/>
      <c r="H358" s="9"/>
    </row>
    <row r="359">
      <c r="B359" s="42"/>
      <c r="C359" s="42"/>
      <c r="D359" s="9"/>
      <c r="E359" s="9"/>
      <c r="F359" s="9"/>
      <c r="G359" s="9"/>
      <c r="H359" s="9"/>
    </row>
    <row r="360">
      <c r="B360" s="42"/>
      <c r="C360" s="42"/>
      <c r="D360" s="9"/>
      <c r="E360" s="9"/>
      <c r="F360" s="9"/>
      <c r="G360" s="9"/>
      <c r="H360" s="9"/>
    </row>
    <row r="361">
      <c r="B361" s="42"/>
      <c r="C361" s="42"/>
      <c r="D361" s="9"/>
      <c r="E361" s="9"/>
      <c r="F361" s="9"/>
      <c r="G361" s="9"/>
      <c r="H361" s="9"/>
    </row>
    <row r="362">
      <c r="B362" s="42"/>
      <c r="C362" s="42"/>
      <c r="D362" s="9"/>
      <c r="E362" s="9"/>
      <c r="F362" s="9"/>
      <c r="G362" s="9"/>
      <c r="H362" s="9"/>
    </row>
    <row r="363">
      <c r="B363" s="42"/>
      <c r="C363" s="42"/>
      <c r="D363" s="9"/>
      <c r="E363" s="9"/>
      <c r="F363" s="9"/>
      <c r="G363" s="9"/>
      <c r="H363" s="9"/>
    </row>
    <row r="364">
      <c r="B364" s="42"/>
      <c r="C364" s="42"/>
      <c r="D364" s="9"/>
      <c r="E364" s="9"/>
      <c r="F364" s="9"/>
      <c r="G364" s="9"/>
      <c r="H364" s="9"/>
    </row>
    <row r="365">
      <c r="B365" s="42"/>
      <c r="C365" s="42"/>
      <c r="D365" s="9"/>
      <c r="E365" s="9"/>
      <c r="F365" s="9"/>
      <c r="G365" s="9"/>
      <c r="H365" s="9"/>
    </row>
    <row r="366">
      <c r="B366" s="42"/>
      <c r="C366" s="42"/>
      <c r="D366" s="9"/>
      <c r="E366" s="9"/>
      <c r="F366" s="9"/>
      <c r="G366" s="9"/>
      <c r="H366" s="9"/>
    </row>
    <row r="367">
      <c r="B367" s="42"/>
      <c r="C367" s="42"/>
      <c r="D367" s="9"/>
      <c r="E367" s="9"/>
      <c r="F367" s="9"/>
      <c r="G367" s="9"/>
      <c r="H367" s="9"/>
    </row>
    <row r="368">
      <c r="B368" s="42"/>
      <c r="C368" s="42"/>
      <c r="D368" s="9"/>
      <c r="E368" s="9"/>
      <c r="F368" s="9"/>
      <c r="G368" s="9"/>
      <c r="H368" s="9"/>
    </row>
    <row r="369">
      <c r="B369" s="42"/>
      <c r="C369" s="42"/>
      <c r="D369" s="9"/>
      <c r="E369" s="9"/>
      <c r="F369" s="9"/>
      <c r="G369" s="9"/>
      <c r="H369" s="9"/>
    </row>
    <row r="370">
      <c r="B370" s="42"/>
      <c r="C370" s="42"/>
      <c r="D370" s="9"/>
      <c r="E370" s="9"/>
      <c r="F370" s="9"/>
      <c r="G370" s="9"/>
      <c r="H370" s="9"/>
    </row>
    <row r="371">
      <c r="B371" s="42"/>
      <c r="C371" s="42"/>
      <c r="D371" s="9"/>
      <c r="E371" s="9"/>
      <c r="F371" s="9"/>
      <c r="G371" s="9"/>
      <c r="H371" s="9"/>
    </row>
    <row r="372">
      <c r="B372" s="42"/>
      <c r="C372" s="42"/>
      <c r="D372" s="9"/>
      <c r="E372" s="9"/>
      <c r="F372" s="9"/>
      <c r="G372" s="9"/>
      <c r="H372" s="9"/>
    </row>
    <row r="373">
      <c r="B373" s="42"/>
      <c r="C373" s="42"/>
      <c r="D373" s="9"/>
      <c r="E373" s="9"/>
      <c r="F373" s="9"/>
      <c r="G373" s="9"/>
      <c r="H373" s="9"/>
    </row>
    <row r="374">
      <c r="B374" s="42"/>
      <c r="C374" s="42"/>
      <c r="D374" s="9"/>
      <c r="E374" s="9"/>
      <c r="F374" s="9"/>
      <c r="G374" s="9"/>
      <c r="H374" s="9"/>
    </row>
    <row r="375">
      <c r="B375" s="42"/>
      <c r="C375" s="42"/>
      <c r="D375" s="9"/>
      <c r="E375" s="9"/>
      <c r="F375" s="9"/>
      <c r="G375" s="9"/>
      <c r="H375" s="9"/>
    </row>
    <row r="376">
      <c r="B376" s="42"/>
      <c r="C376" s="42"/>
      <c r="D376" s="9"/>
      <c r="E376" s="9"/>
      <c r="F376" s="9"/>
      <c r="G376" s="9"/>
      <c r="H376" s="9"/>
    </row>
    <row r="377">
      <c r="B377" s="42"/>
      <c r="C377" s="42"/>
      <c r="D377" s="9"/>
      <c r="E377" s="9"/>
      <c r="F377" s="9"/>
      <c r="G377" s="9"/>
      <c r="H377" s="9"/>
    </row>
    <row r="378">
      <c r="B378" s="42"/>
      <c r="C378" s="42"/>
      <c r="D378" s="9"/>
      <c r="E378" s="9"/>
      <c r="F378" s="9"/>
      <c r="G378" s="9"/>
      <c r="H378" s="9"/>
    </row>
    <row r="379">
      <c r="B379" s="42"/>
      <c r="C379" s="42"/>
      <c r="D379" s="9"/>
      <c r="E379" s="9"/>
      <c r="F379" s="9"/>
      <c r="G379" s="9"/>
      <c r="H379" s="9"/>
    </row>
    <row r="380">
      <c r="B380" s="42"/>
      <c r="C380" s="42"/>
      <c r="D380" s="9"/>
      <c r="E380" s="9"/>
      <c r="F380" s="9"/>
      <c r="G380" s="9"/>
      <c r="H380" s="9"/>
    </row>
    <row r="381">
      <c r="B381" s="42"/>
      <c r="C381" s="42"/>
      <c r="D381" s="9"/>
      <c r="E381" s="9"/>
      <c r="F381" s="9"/>
      <c r="G381" s="9"/>
      <c r="H381" s="9"/>
    </row>
    <row r="382">
      <c r="B382" s="42"/>
      <c r="C382" s="42"/>
      <c r="D382" s="9"/>
      <c r="E382" s="9"/>
      <c r="F382" s="9"/>
      <c r="G382" s="9"/>
      <c r="H382" s="9"/>
    </row>
    <row r="383">
      <c r="B383" s="42"/>
      <c r="C383" s="42"/>
      <c r="D383" s="9"/>
      <c r="E383" s="9"/>
      <c r="F383" s="9"/>
      <c r="G383" s="9"/>
      <c r="H383" s="9"/>
    </row>
    <row r="384">
      <c r="B384" s="42"/>
      <c r="C384" s="42"/>
      <c r="D384" s="9"/>
      <c r="E384" s="9"/>
      <c r="F384" s="9"/>
      <c r="G384" s="9"/>
      <c r="H384" s="9"/>
    </row>
    <row r="385">
      <c r="B385" s="42"/>
      <c r="C385" s="42"/>
      <c r="D385" s="9"/>
      <c r="E385" s="9"/>
      <c r="F385" s="9"/>
      <c r="G385" s="9"/>
      <c r="H385" s="9"/>
    </row>
    <row r="386">
      <c r="B386" s="42"/>
      <c r="C386" s="42"/>
      <c r="D386" s="9"/>
      <c r="E386" s="9"/>
      <c r="F386" s="9"/>
      <c r="G386" s="9"/>
      <c r="H386" s="9"/>
    </row>
    <row r="387">
      <c r="B387" s="42"/>
      <c r="C387" s="42"/>
      <c r="D387" s="9"/>
      <c r="E387" s="9"/>
      <c r="F387" s="9"/>
      <c r="G387" s="9"/>
      <c r="H387" s="9"/>
    </row>
    <row r="388">
      <c r="B388" s="42"/>
      <c r="C388" s="42"/>
      <c r="D388" s="9"/>
      <c r="E388" s="9"/>
      <c r="F388" s="9"/>
      <c r="G388" s="9"/>
      <c r="H388" s="9"/>
    </row>
    <row r="389">
      <c r="B389" s="42"/>
      <c r="C389" s="42"/>
      <c r="D389" s="9"/>
      <c r="E389" s="9"/>
      <c r="F389" s="9"/>
      <c r="G389" s="9"/>
      <c r="H389" s="9"/>
    </row>
    <row r="390">
      <c r="B390" s="42"/>
      <c r="C390" s="42"/>
      <c r="D390" s="9"/>
      <c r="E390" s="9"/>
      <c r="F390" s="9"/>
      <c r="G390" s="9"/>
      <c r="H390" s="9"/>
    </row>
    <row r="391">
      <c r="B391" s="42"/>
      <c r="C391" s="42"/>
      <c r="D391" s="9"/>
      <c r="E391" s="9"/>
      <c r="F391" s="9"/>
      <c r="G391" s="9"/>
      <c r="H391" s="9"/>
    </row>
    <row r="392">
      <c r="B392" s="42"/>
      <c r="C392" s="42"/>
      <c r="D392" s="9"/>
      <c r="E392" s="9"/>
      <c r="F392" s="9"/>
      <c r="G392" s="9"/>
      <c r="H392" s="9"/>
    </row>
    <row r="393">
      <c r="B393" s="42"/>
      <c r="C393" s="42"/>
      <c r="D393" s="9"/>
      <c r="E393" s="9"/>
      <c r="F393" s="9"/>
      <c r="G393" s="9"/>
      <c r="H393" s="9"/>
    </row>
    <row r="394">
      <c r="B394" s="42"/>
      <c r="C394" s="42"/>
      <c r="D394" s="9"/>
      <c r="E394" s="9"/>
      <c r="F394" s="9"/>
      <c r="G394" s="9"/>
      <c r="H394" s="9"/>
    </row>
    <row r="395">
      <c r="B395" s="42"/>
      <c r="C395" s="42"/>
      <c r="D395" s="9"/>
      <c r="E395" s="9"/>
      <c r="F395" s="9"/>
      <c r="G395" s="9"/>
      <c r="H395" s="9"/>
    </row>
    <row r="396">
      <c r="B396" s="42"/>
      <c r="C396" s="42"/>
      <c r="D396" s="9"/>
      <c r="E396" s="9"/>
      <c r="F396" s="9"/>
      <c r="G396" s="9"/>
      <c r="H396" s="9"/>
    </row>
    <row r="397">
      <c r="B397" s="42"/>
      <c r="C397" s="42"/>
      <c r="D397" s="9"/>
      <c r="E397" s="9"/>
      <c r="F397" s="9"/>
      <c r="G397" s="9"/>
      <c r="H397" s="9"/>
    </row>
    <row r="398">
      <c r="B398" s="42"/>
      <c r="C398" s="42"/>
      <c r="D398" s="9"/>
      <c r="E398" s="9"/>
      <c r="F398" s="9"/>
      <c r="G398" s="9"/>
      <c r="H398" s="9"/>
    </row>
    <row r="399">
      <c r="B399" s="42"/>
      <c r="C399" s="42"/>
      <c r="D399" s="9"/>
      <c r="E399" s="9"/>
      <c r="F399" s="9"/>
      <c r="G399" s="9"/>
      <c r="H399" s="9"/>
    </row>
    <row r="400">
      <c r="B400" s="42"/>
      <c r="C400" s="42"/>
      <c r="D400" s="9"/>
      <c r="E400" s="9"/>
      <c r="F400" s="9"/>
      <c r="G400" s="9"/>
      <c r="H400" s="9"/>
    </row>
    <row r="401">
      <c r="B401" s="42"/>
      <c r="C401" s="42"/>
      <c r="D401" s="9"/>
      <c r="E401" s="9"/>
      <c r="F401" s="9"/>
      <c r="G401" s="9"/>
      <c r="H401" s="9"/>
    </row>
    <row r="402">
      <c r="B402" s="42"/>
      <c r="C402" s="42"/>
      <c r="D402" s="9"/>
      <c r="E402" s="9"/>
      <c r="F402" s="9"/>
      <c r="G402" s="9"/>
      <c r="H402" s="9"/>
    </row>
    <row r="403">
      <c r="B403" s="42"/>
      <c r="C403" s="42"/>
      <c r="D403" s="9"/>
      <c r="E403" s="9"/>
      <c r="F403" s="9"/>
      <c r="G403" s="9"/>
      <c r="H403" s="9"/>
    </row>
    <row r="404">
      <c r="B404" s="42"/>
      <c r="C404" s="42"/>
      <c r="D404" s="9"/>
      <c r="E404" s="9"/>
      <c r="F404" s="9"/>
      <c r="G404" s="9"/>
      <c r="H404" s="9"/>
    </row>
    <row r="405">
      <c r="B405" s="42"/>
      <c r="C405" s="42"/>
      <c r="D405" s="9"/>
      <c r="E405" s="9"/>
      <c r="F405" s="9"/>
      <c r="G405" s="9"/>
      <c r="H405" s="9"/>
    </row>
    <row r="406">
      <c r="B406" s="42"/>
      <c r="C406" s="42"/>
      <c r="D406" s="9"/>
      <c r="E406" s="9"/>
      <c r="F406" s="9"/>
      <c r="G406" s="9"/>
      <c r="H406" s="9"/>
    </row>
    <row r="407">
      <c r="B407" s="42"/>
      <c r="C407" s="42"/>
      <c r="D407" s="9"/>
      <c r="E407" s="9"/>
      <c r="F407" s="9"/>
      <c r="G407" s="9"/>
      <c r="H407" s="9"/>
    </row>
    <row r="408">
      <c r="B408" s="42"/>
      <c r="C408" s="42"/>
      <c r="D408" s="9"/>
      <c r="E408" s="9"/>
      <c r="F408" s="9"/>
      <c r="G408" s="9"/>
      <c r="H408" s="9"/>
    </row>
    <row r="409">
      <c r="B409" s="42"/>
      <c r="C409" s="42"/>
      <c r="D409" s="9"/>
      <c r="E409" s="9"/>
      <c r="F409" s="9"/>
      <c r="G409" s="9"/>
      <c r="H409" s="9"/>
    </row>
    <row r="410">
      <c r="B410" s="42"/>
      <c r="C410" s="42"/>
      <c r="D410" s="9"/>
      <c r="E410" s="9"/>
      <c r="F410" s="9"/>
      <c r="G410" s="9"/>
      <c r="H410" s="9"/>
    </row>
    <row r="411">
      <c r="B411" s="42"/>
      <c r="C411" s="42"/>
      <c r="D411" s="9"/>
      <c r="E411" s="9"/>
      <c r="F411" s="9"/>
      <c r="G411" s="9"/>
      <c r="H411" s="9"/>
    </row>
    <row r="412">
      <c r="B412" s="42"/>
      <c r="C412" s="42"/>
      <c r="D412" s="9"/>
      <c r="E412" s="9"/>
      <c r="F412" s="9"/>
      <c r="G412" s="9"/>
      <c r="H412" s="9"/>
    </row>
    <row r="413">
      <c r="B413" s="42"/>
      <c r="C413" s="42"/>
      <c r="D413" s="9"/>
      <c r="E413" s="9"/>
      <c r="F413" s="9"/>
      <c r="G413" s="9"/>
      <c r="H413" s="9"/>
    </row>
    <row r="414">
      <c r="B414" s="42"/>
      <c r="C414" s="42"/>
      <c r="D414" s="9"/>
      <c r="E414" s="9"/>
      <c r="F414" s="9"/>
      <c r="G414" s="9"/>
      <c r="H414" s="9"/>
    </row>
    <row r="415">
      <c r="B415" s="42"/>
      <c r="C415" s="42"/>
      <c r="D415" s="9"/>
      <c r="E415" s="9"/>
      <c r="F415" s="9"/>
      <c r="G415" s="9"/>
      <c r="H415" s="9"/>
    </row>
    <row r="416">
      <c r="B416" s="42"/>
      <c r="C416" s="42"/>
      <c r="D416" s="9"/>
      <c r="E416" s="9"/>
      <c r="F416" s="9"/>
      <c r="G416" s="9"/>
      <c r="H416" s="9"/>
    </row>
    <row r="417">
      <c r="B417" s="42"/>
      <c r="C417" s="42"/>
      <c r="D417" s="9"/>
      <c r="E417" s="9"/>
      <c r="F417" s="9"/>
      <c r="G417" s="9"/>
      <c r="H417" s="9"/>
    </row>
    <row r="418">
      <c r="B418" s="42"/>
      <c r="C418" s="42"/>
      <c r="D418" s="9"/>
      <c r="E418" s="9"/>
      <c r="F418" s="9"/>
      <c r="G418" s="9"/>
      <c r="H418" s="9"/>
    </row>
    <row r="419">
      <c r="B419" s="42"/>
      <c r="C419" s="42"/>
      <c r="D419" s="9"/>
      <c r="E419" s="9"/>
      <c r="F419" s="9"/>
      <c r="G419" s="9"/>
      <c r="H419" s="9"/>
    </row>
    <row r="420">
      <c r="B420" s="42"/>
      <c r="C420" s="42"/>
      <c r="D420" s="9"/>
      <c r="E420" s="9"/>
      <c r="F420" s="9"/>
      <c r="G420" s="9"/>
      <c r="H420" s="9"/>
    </row>
    <row r="421">
      <c r="B421" s="42"/>
      <c r="C421" s="42"/>
      <c r="D421" s="9"/>
      <c r="E421" s="9"/>
      <c r="F421" s="9"/>
      <c r="G421" s="9"/>
      <c r="H421" s="9"/>
    </row>
    <row r="422">
      <c r="B422" s="42"/>
      <c r="C422" s="42"/>
      <c r="D422" s="9"/>
      <c r="E422" s="9"/>
      <c r="F422" s="9"/>
      <c r="G422" s="9"/>
      <c r="H422" s="9"/>
    </row>
    <row r="423">
      <c r="B423" s="42"/>
      <c r="C423" s="42"/>
      <c r="D423" s="9"/>
      <c r="E423" s="9"/>
      <c r="F423" s="9"/>
      <c r="G423" s="9"/>
      <c r="H423" s="9"/>
    </row>
    <row r="424">
      <c r="B424" s="42"/>
      <c r="C424" s="42"/>
      <c r="D424" s="9"/>
      <c r="E424" s="9"/>
      <c r="F424" s="9"/>
      <c r="G424" s="9"/>
      <c r="H424" s="9"/>
    </row>
    <row r="425">
      <c r="B425" s="42"/>
      <c r="C425" s="42"/>
      <c r="D425" s="9"/>
      <c r="E425" s="9"/>
      <c r="F425" s="9"/>
      <c r="G425" s="9"/>
      <c r="H425" s="9"/>
    </row>
    <row r="426">
      <c r="B426" s="42"/>
      <c r="C426" s="42"/>
      <c r="D426" s="9"/>
      <c r="E426" s="9"/>
      <c r="F426" s="9"/>
      <c r="G426" s="9"/>
      <c r="H426" s="9"/>
    </row>
    <row r="427">
      <c r="B427" s="42"/>
      <c r="C427" s="42"/>
      <c r="D427" s="9"/>
      <c r="E427" s="9"/>
      <c r="F427" s="9"/>
      <c r="G427" s="9"/>
      <c r="H427" s="9"/>
    </row>
    <row r="428">
      <c r="B428" s="42"/>
      <c r="C428" s="42"/>
      <c r="D428" s="9"/>
      <c r="E428" s="9"/>
      <c r="F428" s="9"/>
      <c r="G428" s="9"/>
      <c r="H428" s="9"/>
    </row>
    <row r="429">
      <c r="B429" s="42"/>
      <c r="C429" s="42"/>
      <c r="D429" s="9"/>
      <c r="E429" s="9"/>
      <c r="F429" s="9"/>
      <c r="G429" s="9"/>
      <c r="H429" s="9"/>
    </row>
    <row r="430">
      <c r="B430" s="42"/>
      <c r="C430" s="42"/>
      <c r="D430" s="9"/>
      <c r="E430" s="9"/>
      <c r="F430" s="9"/>
      <c r="G430" s="9"/>
      <c r="H430" s="9"/>
    </row>
    <row r="431">
      <c r="B431" s="42"/>
      <c r="C431" s="42"/>
      <c r="D431" s="9"/>
      <c r="E431" s="9"/>
      <c r="F431" s="9"/>
      <c r="G431" s="9"/>
      <c r="H431" s="9"/>
    </row>
    <row r="432">
      <c r="B432" s="42"/>
      <c r="C432" s="42"/>
      <c r="D432" s="9"/>
      <c r="E432" s="9"/>
      <c r="F432" s="9"/>
      <c r="G432" s="9"/>
      <c r="H432" s="9"/>
    </row>
    <row r="433">
      <c r="B433" s="42"/>
      <c r="C433" s="42"/>
      <c r="D433" s="9"/>
      <c r="E433" s="9"/>
      <c r="F433" s="9"/>
      <c r="G433" s="9"/>
      <c r="H433" s="9"/>
    </row>
    <row r="434">
      <c r="B434" s="42"/>
      <c r="C434" s="42"/>
      <c r="D434" s="9"/>
      <c r="E434" s="9"/>
      <c r="F434" s="9"/>
      <c r="G434" s="9"/>
      <c r="H434" s="9"/>
    </row>
    <row r="435">
      <c r="B435" s="42"/>
      <c r="C435" s="42"/>
      <c r="D435" s="9"/>
      <c r="E435" s="9"/>
      <c r="F435" s="9"/>
      <c r="G435" s="9"/>
      <c r="H435" s="9"/>
    </row>
    <row r="436">
      <c r="B436" s="42"/>
      <c r="C436" s="42"/>
      <c r="D436" s="9"/>
      <c r="E436" s="9"/>
      <c r="F436" s="9"/>
      <c r="G436" s="9"/>
      <c r="H436" s="9"/>
    </row>
    <row r="437">
      <c r="B437" s="42"/>
      <c r="C437" s="42"/>
      <c r="D437" s="9"/>
      <c r="E437" s="9"/>
      <c r="F437" s="9"/>
      <c r="G437" s="9"/>
      <c r="H437" s="9"/>
    </row>
    <row r="438">
      <c r="B438" s="42"/>
      <c r="C438" s="42"/>
      <c r="D438" s="9"/>
      <c r="E438" s="9"/>
      <c r="F438" s="9"/>
      <c r="G438" s="9"/>
      <c r="H438" s="9"/>
    </row>
    <row r="439">
      <c r="B439" s="42"/>
      <c r="C439" s="42"/>
      <c r="D439" s="9"/>
      <c r="E439" s="9"/>
      <c r="F439" s="9"/>
      <c r="G439" s="9"/>
      <c r="H439" s="9"/>
    </row>
    <row r="440">
      <c r="B440" s="42"/>
      <c r="C440" s="42"/>
      <c r="D440" s="9"/>
      <c r="E440" s="9"/>
      <c r="F440" s="9"/>
      <c r="G440" s="9"/>
      <c r="H440" s="9"/>
    </row>
    <row r="441">
      <c r="B441" s="42"/>
      <c r="C441" s="42"/>
      <c r="D441" s="9"/>
      <c r="E441" s="9"/>
      <c r="F441" s="9"/>
      <c r="G441" s="9"/>
      <c r="H441" s="9"/>
    </row>
    <row r="442">
      <c r="B442" s="42"/>
      <c r="C442" s="42"/>
      <c r="D442" s="9"/>
      <c r="E442" s="9"/>
      <c r="F442" s="9"/>
      <c r="G442" s="9"/>
      <c r="H442" s="9"/>
    </row>
    <row r="443">
      <c r="B443" s="42"/>
      <c r="C443" s="42"/>
      <c r="D443" s="9"/>
      <c r="E443" s="9"/>
      <c r="F443" s="9"/>
      <c r="G443" s="9"/>
      <c r="H443" s="9"/>
    </row>
    <row r="444">
      <c r="B444" s="42"/>
      <c r="C444" s="42"/>
      <c r="D444" s="9"/>
      <c r="E444" s="9"/>
      <c r="F444" s="9"/>
      <c r="G444" s="9"/>
      <c r="H444" s="9"/>
    </row>
    <row r="445">
      <c r="B445" s="42"/>
      <c r="C445" s="42"/>
      <c r="D445" s="9"/>
      <c r="E445" s="9"/>
      <c r="F445" s="9"/>
      <c r="G445" s="9"/>
      <c r="H445" s="9"/>
    </row>
    <row r="446">
      <c r="B446" s="42"/>
      <c r="C446" s="42"/>
      <c r="D446" s="9"/>
      <c r="E446" s="9"/>
      <c r="F446" s="9"/>
      <c r="G446" s="9"/>
      <c r="H446" s="9"/>
    </row>
    <row r="447">
      <c r="B447" s="42"/>
      <c r="C447" s="42"/>
      <c r="D447" s="9"/>
      <c r="E447" s="9"/>
      <c r="F447" s="9"/>
      <c r="G447" s="9"/>
      <c r="H447" s="9"/>
    </row>
    <row r="448">
      <c r="B448" s="42"/>
      <c r="C448" s="42"/>
      <c r="D448" s="9"/>
      <c r="E448" s="9"/>
      <c r="F448" s="9"/>
      <c r="G448" s="9"/>
      <c r="H448" s="9"/>
    </row>
    <row r="449">
      <c r="B449" s="42"/>
      <c r="C449" s="42"/>
      <c r="D449" s="9"/>
      <c r="E449" s="9"/>
      <c r="F449" s="9"/>
      <c r="G449" s="9"/>
      <c r="H449" s="9"/>
    </row>
    <row r="450">
      <c r="B450" s="42"/>
      <c r="C450" s="42"/>
      <c r="D450" s="9"/>
      <c r="E450" s="9"/>
      <c r="F450" s="9"/>
      <c r="G450" s="9"/>
      <c r="H450" s="9"/>
    </row>
    <row r="451">
      <c r="B451" s="42"/>
      <c r="C451" s="42"/>
      <c r="D451" s="9"/>
      <c r="E451" s="9"/>
      <c r="F451" s="9"/>
      <c r="G451" s="9"/>
      <c r="H451" s="9"/>
    </row>
    <row r="452">
      <c r="B452" s="42"/>
      <c r="C452" s="42"/>
      <c r="D452" s="9"/>
      <c r="E452" s="9"/>
      <c r="F452" s="9"/>
      <c r="G452" s="9"/>
      <c r="H452" s="9"/>
    </row>
    <row r="453">
      <c r="B453" s="42"/>
      <c r="C453" s="42"/>
      <c r="D453" s="9"/>
      <c r="E453" s="9"/>
      <c r="F453" s="9"/>
      <c r="G453" s="9"/>
      <c r="H453" s="9"/>
    </row>
    <row r="454">
      <c r="B454" s="42"/>
      <c r="C454" s="42"/>
      <c r="D454" s="9"/>
      <c r="E454" s="9"/>
      <c r="F454" s="9"/>
      <c r="G454" s="9"/>
      <c r="H454" s="9"/>
    </row>
    <row r="455">
      <c r="B455" s="42"/>
      <c r="C455" s="42"/>
      <c r="D455" s="9"/>
      <c r="E455" s="9"/>
      <c r="F455" s="9"/>
      <c r="G455" s="9"/>
      <c r="H455" s="9"/>
    </row>
    <row r="456">
      <c r="B456" s="42"/>
      <c r="C456" s="42"/>
      <c r="D456" s="9"/>
      <c r="E456" s="9"/>
      <c r="F456" s="9"/>
      <c r="G456" s="9"/>
      <c r="H456" s="9"/>
    </row>
    <row r="457">
      <c r="B457" s="42"/>
      <c r="C457" s="42"/>
      <c r="D457" s="9"/>
      <c r="E457" s="9"/>
      <c r="F457" s="9"/>
      <c r="G457" s="9"/>
      <c r="H457" s="9"/>
    </row>
    <row r="458">
      <c r="B458" s="42"/>
      <c r="C458" s="42"/>
      <c r="D458" s="9"/>
      <c r="E458" s="9"/>
      <c r="F458" s="9"/>
      <c r="G458" s="9"/>
      <c r="H458" s="9"/>
    </row>
    <row r="459">
      <c r="B459" s="42"/>
      <c r="C459" s="42"/>
      <c r="D459" s="9"/>
      <c r="E459" s="9"/>
      <c r="F459" s="9"/>
      <c r="G459" s="9"/>
      <c r="H459" s="9"/>
    </row>
    <row r="460">
      <c r="B460" s="42"/>
      <c r="C460" s="42"/>
      <c r="D460" s="9"/>
      <c r="E460" s="9"/>
      <c r="F460" s="9"/>
      <c r="G460" s="9"/>
      <c r="H460" s="9"/>
    </row>
    <row r="461">
      <c r="B461" s="42"/>
      <c r="C461" s="42"/>
      <c r="D461" s="9"/>
      <c r="E461" s="9"/>
      <c r="F461" s="9"/>
      <c r="G461" s="9"/>
      <c r="H461" s="9"/>
    </row>
    <row r="462">
      <c r="B462" s="42"/>
      <c r="C462" s="42"/>
      <c r="D462" s="9"/>
      <c r="E462" s="9"/>
      <c r="F462" s="9"/>
      <c r="G462" s="9"/>
      <c r="H462" s="9"/>
    </row>
    <row r="463">
      <c r="B463" s="42"/>
      <c r="C463" s="42"/>
      <c r="D463" s="9"/>
      <c r="E463" s="9"/>
      <c r="F463" s="9"/>
      <c r="G463" s="9"/>
      <c r="H463" s="9"/>
    </row>
    <row r="464">
      <c r="B464" s="42"/>
      <c r="C464" s="42"/>
      <c r="D464" s="9"/>
      <c r="E464" s="9"/>
      <c r="F464" s="9"/>
      <c r="G464" s="9"/>
      <c r="H464" s="9"/>
    </row>
    <row r="465">
      <c r="B465" s="42"/>
      <c r="C465" s="42"/>
      <c r="D465" s="9"/>
      <c r="E465" s="9"/>
      <c r="F465" s="9"/>
      <c r="G465" s="9"/>
      <c r="H465" s="9"/>
    </row>
    <row r="466">
      <c r="B466" s="42"/>
      <c r="C466" s="42"/>
      <c r="D466" s="9"/>
      <c r="E466" s="9"/>
      <c r="F466" s="9"/>
      <c r="G466" s="9"/>
      <c r="H466" s="9"/>
    </row>
    <row r="467">
      <c r="B467" s="42"/>
      <c r="C467" s="42"/>
      <c r="D467" s="9"/>
      <c r="E467" s="9"/>
      <c r="F467" s="9"/>
      <c r="G467" s="9"/>
      <c r="H467" s="9"/>
    </row>
    <row r="468">
      <c r="B468" s="42"/>
      <c r="C468" s="42"/>
      <c r="D468" s="9"/>
      <c r="E468" s="9"/>
      <c r="F468" s="9"/>
      <c r="G468" s="9"/>
      <c r="H468" s="9"/>
    </row>
    <row r="469">
      <c r="B469" s="42"/>
      <c r="C469" s="42"/>
      <c r="D469" s="9"/>
      <c r="E469" s="9"/>
      <c r="F469" s="9"/>
      <c r="G469" s="9"/>
      <c r="H469" s="9"/>
    </row>
    <row r="470">
      <c r="B470" s="42"/>
      <c r="C470" s="42"/>
      <c r="D470" s="9"/>
      <c r="E470" s="9"/>
      <c r="F470" s="9"/>
      <c r="G470" s="9"/>
      <c r="H470" s="9"/>
    </row>
    <row r="471">
      <c r="B471" s="42"/>
      <c r="C471" s="42"/>
      <c r="D471" s="9"/>
      <c r="E471" s="9"/>
      <c r="F471" s="9"/>
      <c r="G471" s="9"/>
      <c r="H471" s="9"/>
    </row>
    <row r="472">
      <c r="B472" s="42"/>
      <c r="C472" s="42"/>
      <c r="D472" s="9"/>
      <c r="E472" s="9"/>
      <c r="F472" s="9"/>
      <c r="G472" s="9"/>
      <c r="H472" s="9"/>
    </row>
    <row r="473">
      <c r="B473" s="42"/>
      <c r="C473" s="42"/>
      <c r="D473" s="9"/>
      <c r="E473" s="9"/>
      <c r="F473" s="9"/>
      <c r="G473" s="9"/>
      <c r="H473" s="9"/>
    </row>
    <row r="474">
      <c r="B474" s="42"/>
      <c r="C474" s="42"/>
      <c r="D474" s="9"/>
      <c r="E474" s="9"/>
      <c r="F474" s="9"/>
      <c r="G474" s="9"/>
      <c r="H474" s="9"/>
    </row>
    <row r="475">
      <c r="B475" s="42"/>
      <c r="C475" s="42"/>
      <c r="D475" s="9"/>
      <c r="E475" s="9"/>
      <c r="F475" s="9"/>
      <c r="G475" s="9"/>
      <c r="H475" s="9"/>
    </row>
    <row r="476">
      <c r="B476" s="42"/>
      <c r="C476" s="42"/>
      <c r="D476" s="9"/>
      <c r="E476" s="9"/>
      <c r="F476" s="9"/>
      <c r="G476" s="9"/>
      <c r="H476" s="9"/>
    </row>
    <row r="477">
      <c r="B477" s="42"/>
      <c r="C477" s="42"/>
      <c r="D477" s="9"/>
      <c r="E477" s="9"/>
      <c r="F477" s="9"/>
      <c r="G477" s="9"/>
      <c r="H477" s="9"/>
    </row>
    <row r="478">
      <c r="B478" s="42"/>
      <c r="C478" s="42"/>
      <c r="D478" s="9"/>
      <c r="E478" s="9"/>
      <c r="F478" s="9"/>
      <c r="G478" s="9"/>
      <c r="H478" s="9"/>
    </row>
    <row r="479">
      <c r="B479" s="42"/>
      <c r="C479" s="42"/>
      <c r="D479" s="9"/>
      <c r="E479" s="9"/>
      <c r="F479" s="9"/>
      <c r="G479" s="9"/>
      <c r="H479" s="9"/>
    </row>
    <row r="480">
      <c r="B480" s="42"/>
      <c r="C480" s="42"/>
      <c r="D480" s="9"/>
      <c r="E480" s="9"/>
      <c r="F480" s="9"/>
      <c r="G480" s="9"/>
      <c r="H480" s="9"/>
    </row>
    <row r="481">
      <c r="B481" s="42"/>
      <c r="C481" s="42"/>
      <c r="D481" s="9"/>
      <c r="E481" s="9"/>
      <c r="F481" s="9"/>
      <c r="G481" s="9"/>
      <c r="H481" s="9"/>
    </row>
    <row r="482">
      <c r="B482" s="42"/>
      <c r="C482" s="42"/>
      <c r="D482" s="9"/>
      <c r="E482" s="9"/>
      <c r="F482" s="9"/>
      <c r="G482" s="9"/>
      <c r="H482" s="9"/>
    </row>
    <row r="483">
      <c r="B483" s="42"/>
      <c r="C483" s="42"/>
      <c r="D483" s="9"/>
      <c r="E483" s="9"/>
      <c r="F483" s="9"/>
      <c r="G483" s="9"/>
      <c r="H483" s="9"/>
    </row>
    <row r="484">
      <c r="B484" s="42"/>
      <c r="C484" s="42"/>
      <c r="D484" s="9"/>
      <c r="E484" s="9"/>
      <c r="F484" s="9"/>
      <c r="G484" s="9"/>
      <c r="H484" s="9"/>
    </row>
    <row r="485">
      <c r="B485" s="42"/>
      <c r="C485" s="42"/>
      <c r="D485" s="9"/>
      <c r="E485" s="9"/>
      <c r="F485" s="9"/>
      <c r="G485" s="9"/>
      <c r="H485" s="9"/>
    </row>
    <row r="486">
      <c r="B486" s="42"/>
      <c r="C486" s="42"/>
      <c r="D486" s="9"/>
      <c r="E486" s="9"/>
      <c r="F486" s="9"/>
      <c r="G486" s="9"/>
      <c r="H486" s="9"/>
    </row>
    <row r="487">
      <c r="B487" s="42"/>
      <c r="C487" s="42"/>
      <c r="D487" s="9"/>
      <c r="E487" s="9"/>
      <c r="F487" s="9"/>
      <c r="G487" s="9"/>
      <c r="H487" s="9"/>
    </row>
    <row r="488">
      <c r="B488" s="42"/>
      <c r="C488" s="42"/>
      <c r="D488" s="9"/>
      <c r="E488" s="9"/>
      <c r="F488" s="9"/>
      <c r="G488" s="9"/>
      <c r="H488" s="9"/>
    </row>
    <row r="489">
      <c r="B489" s="42"/>
      <c r="C489" s="42"/>
      <c r="D489" s="9"/>
      <c r="E489" s="9"/>
      <c r="F489" s="9"/>
      <c r="G489" s="9"/>
      <c r="H489" s="9"/>
    </row>
    <row r="490">
      <c r="B490" s="42"/>
      <c r="C490" s="42"/>
      <c r="D490" s="9"/>
      <c r="E490" s="9"/>
      <c r="F490" s="9"/>
      <c r="G490" s="9"/>
      <c r="H490" s="9"/>
    </row>
    <row r="491">
      <c r="B491" s="42"/>
      <c r="C491" s="42"/>
      <c r="D491" s="9"/>
      <c r="E491" s="9"/>
      <c r="F491" s="9"/>
      <c r="G491" s="9"/>
      <c r="H491" s="9"/>
    </row>
    <row r="492">
      <c r="B492" s="42"/>
      <c r="C492" s="42"/>
      <c r="D492" s="9"/>
      <c r="E492" s="9"/>
      <c r="F492" s="9"/>
      <c r="G492" s="9"/>
      <c r="H492" s="9"/>
    </row>
    <row r="493">
      <c r="B493" s="42"/>
      <c r="C493" s="42"/>
      <c r="D493" s="9"/>
      <c r="E493" s="9"/>
      <c r="F493" s="9"/>
      <c r="G493" s="9"/>
      <c r="H493" s="9"/>
    </row>
    <row r="494">
      <c r="B494" s="42"/>
      <c r="C494" s="42"/>
      <c r="D494" s="9"/>
      <c r="E494" s="9"/>
      <c r="F494" s="9"/>
      <c r="G494" s="9"/>
      <c r="H494" s="9"/>
    </row>
    <row r="495">
      <c r="B495" s="42"/>
      <c r="C495" s="42"/>
      <c r="D495" s="9"/>
      <c r="E495" s="9"/>
      <c r="F495" s="9"/>
      <c r="G495" s="9"/>
      <c r="H495" s="9"/>
    </row>
    <row r="496">
      <c r="B496" s="42"/>
      <c r="C496" s="42"/>
      <c r="D496" s="9"/>
      <c r="E496" s="9"/>
      <c r="F496" s="9"/>
      <c r="G496" s="9"/>
      <c r="H496" s="9"/>
    </row>
    <row r="497">
      <c r="B497" s="42"/>
      <c r="C497" s="42"/>
      <c r="D497" s="9"/>
      <c r="E497" s="9"/>
      <c r="F497" s="9"/>
      <c r="G497" s="9"/>
      <c r="H497" s="9"/>
    </row>
    <row r="498">
      <c r="B498" s="42"/>
      <c r="C498" s="42"/>
      <c r="D498" s="9"/>
      <c r="E498" s="9"/>
      <c r="F498" s="9"/>
      <c r="G498" s="9"/>
      <c r="H498" s="9"/>
    </row>
    <row r="499">
      <c r="B499" s="42"/>
      <c r="C499" s="42"/>
      <c r="D499" s="9"/>
      <c r="E499" s="9"/>
      <c r="F499" s="9"/>
      <c r="G499" s="9"/>
      <c r="H499" s="9"/>
    </row>
    <row r="500">
      <c r="B500" s="42"/>
      <c r="C500" s="42"/>
      <c r="D500" s="9"/>
      <c r="E500" s="9"/>
      <c r="F500" s="9"/>
      <c r="G500" s="9"/>
      <c r="H500" s="9"/>
    </row>
    <row r="501">
      <c r="B501" s="42"/>
      <c r="C501" s="42"/>
      <c r="D501" s="9"/>
      <c r="E501" s="9"/>
      <c r="F501" s="9"/>
      <c r="G501" s="9"/>
      <c r="H501" s="9"/>
    </row>
    <row r="502">
      <c r="B502" s="42"/>
      <c r="C502" s="42"/>
      <c r="D502" s="9"/>
      <c r="E502" s="9"/>
      <c r="F502" s="9"/>
      <c r="G502" s="9"/>
      <c r="H502" s="9"/>
    </row>
    <row r="503">
      <c r="B503" s="42"/>
      <c r="C503" s="42"/>
      <c r="D503" s="9"/>
      <c r="E503" s="9"/>
      <c r="F503" s="9"/>
      <c r="G503" s="9"/>
      <c r="H503" s="9"/>
    </row>
    <row r="504">
      <c r="B504" s="42"/>
      <c r="C504" s="42"/>
      <c r="D504" s="9"/>
      <c r="E504" s="9"/>
      <c r="F504" s="9"/>
      <c r="G504" s="9"/>
      <c r="H504" s="9"/>
    </row>
    <row r="505">
      <c r="B505" s="42"/>
      <c r="C505" s="42"/>
      <c r="D505" s="9"/>
      <c r="E505" s="9"/>
      <c r="F505" s="9"/>
      <c r="G505" s="9"/>
      <c r="H505" s="9"/>
    </row>
    <row r="506">
      <c r="B506" s="42"/>
      <c r="C506" s="42"/>
      <c r="D506" s="9"/>
      <c r="E506" s="9"/>
      <c r="F506" s="9"/>
      <c r="G506" s="9"/>
      <c r="H506" s="9"/>
    </row>
    <row r="507">
      <c r="B507" s="42"/>
      <c r="C507" s="42"/>
      <c r="D507" s="9"/>
      <c r="E507" s="9"/>
      <c r="F507" s="9"/>
      <c r="G507" s="9"/>
      <c r="H507" s="9"/>
    </row>
    <row r="508">
      <c r="B508" s="42"/>
      <c r="C508" s="42"/>
      <c r="D508" s="9"/>
      <c r="E508" s="9"/>
      <c r="F508" s="9"/>
      <c r="G508" s="9"/>
      <c r="H508" s="9"/>
    </row>
    <row r="509">
      <c r="B509" s="42"/>
      <c r="C509" s="42"/>
      <c r="D509" s="9"/>
      <c r="E509" s="9"/>
      <c r="F509" s="9"/>
      <c r="G509" s="9"/>
      <c r="H509" s="9"/>
    </row>
    <row r="510">
      <c r="B510" s="42"/>
      <c r="C510" s="42"/>
      <c r="D510" s="9"/>
      <c r="E510" s="9"/>
      <c r="F510" s="9"/>
      <c r="G510" s="9"/>
      <c r="H510" s="9"/>
    </row>
    <row r="511">
      <c r="B511" s="42"/>
      <c r="C511" s="42"/>
      <c r="D511" s="9"/>
      <c r="E511" s="9"/>
      <c r="F511" s="9"/>
      <c r="G511" s="9"/>
      <c r="H511" s="9"/>
    </row>
    <row r="512">
      <c r="B512" s="42"/>
      <c r="C512" s="42"/>
      <c r="D512" s="9"/>
      <c r="E512" s="9"/>
      <c r="F512" s="9"/>
      <c r="G512" s="9"/>
      <c r="H512" s="9"/>
    </row>
    <row r="513">
      <c r="B513" s="42"/>
      <c r="C513" s="42"/>
      <c r="D513" s="9"/>
      <c r="E513" s="9"/>
      <c r="F513" s="9"/>
      <c r="G513" s="9"/>
      <c r="H513" s="9"/>
    </row>
    <row r="514">
      <c r="B514" s="42"/>
      <c r="C514" s="42"/>
      <c r="D514" s="9"/>
      <c r="E514" s="9"/>
      <c r="F514" s="9"/>
      <c r="G514" s="9"/>
      <c r="H514" s="9"/>
    </row>
    <row r="515">
      <c r="B515" s="42"/>
      <c r="C515" s="42"/>
      <c r="D515" s="9"/>
      <c r="E515" s="9"/>
      <c r="F515" s="9"/>
      <c r="G515" s="9"/>
      <c r="H515" s="9"/>
    </row>
    <row r="516">
      <c r="B516" s="42"/>
      <c r="C516" s="42"/>
      <c r="D516" s="9"/>
      <c r="E516" s="9"/>
      <c r="F516" s="9"/>
      <c r="G516" s="9"/>
      <c r="H516" s="9"/>
    </row>
    <row r="517">
      <c r="B517" s="42"/>
      <c r="C517" s="42"/>
      <c r="D517" s="9"/>
      <c r="E517" s="9"/>
      <c r="F517" s="9"/>
      <c r="G517" s="9"/>
      <c r="H517" s="9"/>
    </row>
    <row r="518">
      <c r="B518" s="42"/>
      <c r="C518" s="42"/>
      <c r="D518" s="9"/>
      <c r="E518" s="9"/>
      <c r="F518" s="9"/>
      <c r="G518" s="9"/>
      <c r="H518" s="9"/>
    </row>
    <row r="519">
      <c r="B519" s="42"/>
      <c r="C519" s="42"/>
      <c r="D519" s="9"/>
      <c r="E519" s="9"/>
      <c r="F519" s="9"/>
      <c r="G519" s="9"/>
      <c r="H519" s="9"/>
    </row>
    <row r="520">
      <c r="B520" s="42"/>
      <c r="C520" s="42"/>
      <c r="D520" s="9"/>
      <c r="E520" s="9"/>
      <c r="F520" s="9"/>
      <c r="G520" s="9"/>
      <c r="H520" s="9"/>
    </row>
    <row r="521">
      <c r="B521" s="42"/>
      <c r="C521" s="42"/>
      <c r="D521" s="9"/>
      <c r="E521" s="9"/>
      <c r="F521" s="9"/>
      <c r="G521" s="9"/>
      <c r="H521" s="9"/>
    </row>
    <row r="522">
      <c r="B522" s="42"/>
      <c r="C522" s="42"/>
      <c r="D522" s="9"/>
      <c r="E522" s="9"/>
      <c r="F522" s="9"/>
      <c r="G522" s="9"/>
      <c r="H522" s="9"/>
    </row>
    <row r="523">
      <c r="B523" s="42"/>
      <c r="C523" s="42"/>
      <c r="D523" s="9"/>
      <c r="E523" s="9"/>
      <c r="F523" s="9"/>
      <c r="G523" s="9"/>
      <c r="H523" s="9"/>
    </row>
    <row r="524">
      <c r="B524" s="42"/>
      <c r="C524" s="42"/>
      <c r="D524" s="9"/>
      <c r="E524" s="9"/>
      <c r="F524" s="9"/>
      <c r="G524" s="9"/>
      <c r="H524" s="9"/>
    </row>
    <row r="525">
      <c r="B525" s="42"/>
      <c r="C525" s="42"/>
      <c r="D525" s="9"/>
      <c r="E525" s="9"/>
      <c r="F525" s="9"/>
      <c r="G525" s="9"/>
      <c r="H525" s="9"/>
    </row>
    <row r="526">
      <c r="B526" s="42"/>
      <c r="C526" s="42"/>
      <c r="D526" s="9"/>
      <c r="E526" s="9"/>
      <c r="F526" s="9"/>
      <c r="G526" s="9"/>
      <c r="H526" s="9"/>
    </row>
    <row r="527">
      <c r="B527" s="42"/>
      <c r="C527" s="42"/>
      <c r="D527" s="9"/>
      <c r="E527" s="9"/>
      <c r="F527" s="9"/>
      <c r="G527" s="9"/>
      <c r="H527" s="9"/>
    </row>
    <row r="528">
      <c r="B528" s="42"/>
      <c r="C528" s="42"/>
      <c r="D528" s="9"/>
      <c r="E528" s="9"/>
      <c r="F528" s="9"/>
      <c r="G528" s="9"/>
      <c r="H528" s="9"/>
    </row>
    <row r="529">
      <c r="B529" s="42"/>
      <c r="C529" s="42"/>
      <c r="D529" s="9"/>
      <c r="E529" s="9"/>
      <c r="F529" s="9"/>
      <c r="G529" s="9"/>
      <c r="H529" s="9"/>
    </row>
    <row r="530">
      <c r="B530" s="42"/>
      <c r="C530" s="42"/>
      <c r="D530" s="9"/>
      <c r="E530" s="9"/>
      <c r="F530" s="9"/>
      <c r="G530" s="9"/>
      <c r="H530" s="9"/>
    </row>
    <row r="531">
      <c r="B531" s="42"/>
      <c r="C531" s="42"/>
      <c r="D531" s="9"/>
      <c r="E531" s="9"/>
      <c r="F531" s="9"/>
      <c r="G531" s="9"/>
      <c r="H531" s="9"/>
    </row>
    <row r="532">
      <c r="B532" s="42"/>
      <c r="C532" s="42"/>
      <c r="D532" s="9"/>
      <c r="E532" s="9"/>
      <c r="F532" s="9"/>
      <c r="G532" s="9"/>
      <c r="H532" s="9"/>
    </row>
    <row r="533">
      <c r="B533" s="42"/>
      <c r="C533" s="42"/>
      <c r="D533" s="9"/>
      <c r="E533" s="9"/>
      <c r="F533" s="9"/>
      <c r="G533" s="9"/>
      <c r="H533" s="9"/>
    </row>
    <row r="534">
      <c r="B534" s="42"/>
      <c r="C534" s="42"/>
      <c r="D534" s="9"/>
      <c r="E534" s="9"/>
      <c r="F534" s="9"/>
      <c r="G534" s="9"/>
      <c r="H534" s="9"/>
    </row>
    <row r="535">
      <c r="B535" s="42"/>
      <c r="C535" s="42"/>
      <c r="D535" s="9"/>
      <c r="E535" s="9"/>
      <c r="F535" s="9"/>
      <c r="G535" s="9"/>
      <c r="H535" s="9"/>
    </row>
    <row r="536">
      <c r="B536" s="42"/>
      <c r="C536" s="42"/>
      <c r="D536" s="9"/>
      <c r="E536" s="9"/>
      <c r="F536" s="9"/>
      <c r="G536" s="9"/>
      <c r="H536" s="9"/>
    </row>
    <row r="537">
      <c r="B537" s="42"/>
      <c r="C537" s="42"/>
      <c r="D537" s="9"/>
      <c r="E537" s="9"/>
      <c r="F537" s="9"/>
      <c r="G537" s="9"/>
      <c r="H537" s="9"/>
    </row>
    <row r="538">
      <c r="B538" s="42"/>
      <c r="C538" s="42"/>
      <c r="D538" s="9"/>
      <c r="E538" s="9"/>
      <c r="F538" s="9"/>
      <c r="G538" s="9"/>
      <c r="H538" s="9"/>
    </row>
    <row r="539">
      <c r="B539" s="42"/>
      <c r="C539" s="42"/>
      <c r="D539" s="9"/>
      <c r="E539" s="9"/>
      <c r="F539" s="9"/>
      <c r="G539" s="9"/>
      <c r="H539" s="9"/>
    </row>
    <row r="540">
      <c r="B540" s="42"/>
      <c r="C540" s="42"/>
      <c r="D540" s="9"/>
      <c r="E540" s="9"/>
      <c r="F540" s="9"/>
      <c r="G540" s="9"/>
      <c r="H540" s="9"/>
    </row>
    <row r="541">
      <c r="B541" s="42"/>
      <c r="C541" s="42"/>
      <c r="D541" s="9"/>
      <c r="E541" s="9"/>
      <c r="F541" s="9"/>
      <c r="G541" s="9"/>
      <c r="H541" s="9"/>
    </row>
    <row r="542">
      <c r="B542" s="42"/>
      <c r="C542" s="42"/>
      <c r="D542" s="9"/>
      <c r="E542" s="9"/>
      <c r="F542" s="9"/>
      <c r="G542" s="9"/>
      <c r="H542" s="9"/>
    </row>
    <row r="543">
      <c r="B543" s="42"/>
      <c r="C543" s="42"/>
      <c r="D543" s="9"/>
      <c r="E543" s="9"/>
      <c r="F543" s="9"/>
      <c r="G543" s="9"/>
      <c r="H543" s="9"/>
    </row>
    <row r="544">
      <c r="B544" s="42"/>
      <c r="C544" s="42"/>
      <c r="D544" s="9"/>
      <c r="E544" s="9"/>
      <c r="F544" s="9"/>
      <c r="G544" s="9"/>
      <c r="H544" s="9"/>
    </row>
    <row r="545">
      <c r="B545" s="42"/>
      <c r="C545" s="42"/>
      <c r="D545" s="9"/>
      <c r="E545" s="9"/>
      <c r="F545" s="9"/>
      <c r="G545" s="9"/>
      <c r="H545" s="9"/>
    </row>
    <row r="546">
      <c r="B546" s="42"/>
      <c r="C546" s="42"/>
      <c r="D546" s="9"/>
      <c r="E546" s="9"/>
      <c r="F546" s="9"/>
      <c r="G546" s="9"/>
      <c r="H546" s="9"/>
    </row>
    <row r="547">
      <c r="B547" s="42"/>
      <c r="C547" s="42"/>
      <c r="D547" s="9"/>
      <c r="E547" s="9"/>
      <c r="F547" s="9"/>
      <c r="G547" s="9"/>
      <c r="H547" s="9"/>
    </row>
    <row r="548">
      <c r="B548" s="42"/>
      <c r="C548" s="42"/>
      <c r="D548" s="9"/>
      <c r="E548" s="9"/>
      <c r="F548" s="9"/>
      <c r="G548" s="9"/>
      <c r="H548" s="9"/>
    </row>
    <row r="549">
      <c r="B549" s="42"/>
      <c r="C549" s="42"/>
      <c r="D549" s="9"/>
      <c r="E549" s="9"/>
      <c r="F549" s="9"/>
      <c r="G549" s="9"/>
      <c r="H549" s="9"/>
    </row>
    <row r="550">
      <c r="B550" s="42"/>
      <c r="C550" s="42"/>
      <c r="D550" s="9"/>
      <c r="E550" s="9"/>
      <c r="F550" s="9"/>
      <c r="G550" s="9"/>
      <c r="H550" s="9"/>
    </row>
    <row r="551">
      <c r="B551" s="42"/>
      <c r="C551" s="42"/>
      <c r="D551" s="9"/>
      <c r="E551" s="9"/>
      <c r="F551" s="9"/>
      <c r="G551" s="9"/>
      <c r="H551" s="9"/>
    </row>
    <row r="552">
      <c r="B552" s="42"/>
      <c r="C552" s="42"/>
      <c r="D552" s="9"/>
      <c r="E552" s="9"/>
      <c r="F552" s="9"/>
      <c r="G552" s="9"/>
      <c r="H552" s="9"/>
    </row>
    <row r="553">
      <c r="B553" s="42"/>
      <c r="C553" s="42"/>
      <c r="D553" s="9"/>
      <c r="E553" s="9"/>
      <c r="F553" s="9"/>
      <c r="G553" s="9"/>
      <c r="H553" s="9"/>
    </row>
    <row r="554">
      <c r="B554" s="42"/>
      <c r="C554" s="42"/>
      <c r="D554" s="9"/>
      <c r="E554" s="9"/>
      <c r="F554" s="9"/>
      <c r="G554" s="9"/>
      <c r="H554" s="9"/>
    </row>
    <row r="555">
      <c r="B555" s="42"/>
      <c r="C555" s="42"/>
      <c r="D555" s="9"/>
      <c r="E555" s="9"/>
      <c r="F555" s="9"/>
      <c r="G555" s="9"/>
      <c r="H555" s="9"/>
    </row>
    <row r="556">
      <c r="B556" s="42"/>
      <c r="C556" s="42"/>
      <c r="D556" s="9"/>
      <c r="E556" s="9"/>
      <c r="F556" s="9"/>
      <c r="G556" s="9"/>
      <c r="H556" s="9"/>
    </row>
    <row r="557">
      <c r="B557" s="42"/>
      <c r="C557" s="42"/>
      <c r="D557" s="9"/>
      <c r="E557" s="9"/>
      <c r="F557" s="9"/>
      <c r="G557" s="9"/>
      <c r="H557" s="9"/>
    </row>
    <row r="558">
      <c r="B558" s="42"/>
      <c r="C558" s="42"/>
      <c r="D558" s="9"/>
      <c r="E558" s="9"/>
      <c r="F558" s="9"/>
      <c r="G558" s="9"/>
      <c r="H558" s="9"/>
    </row>
    <row r="559">
      <c r="B559" s="42"/>
      <c r="C559" s="42"/>
      <c r="D559" s="9"/>
      <c r="E559" s="9"/>
      <c r="F559" s="9"/>
      <c r="G559" s="9"/>
      <c r="H559" s="9"/>
    </row>
    <row r="560">
      <c r="B560" s="42"/>
      <c r="C560" s="42"/>
      <c r="D560" s="9"/>
      <c r="E560" s="9"/>
      <c r="F560" s="9"/>
      <c r="G560" s="9"/>
      <c r="H560" s="9"/>
    </row>
    <row r="561">
      <c r="B561" s="42"/>
      <c r="C561" s="42"/>
      <c r="D561" s="9"/>
      <c r="E561" s="9"/>
      <c r="F561" s="9"/>
      <c r="G561" s="9"/>
      <c r="H561" s="9"/>
    </row>
    <row r="562">
      <c r="B562" s="42"/>
      <c r="C562" s="42"/>
      <c r="D562" s="9"/>
      <c r="E562" s="9"/>
      <c r="F562" s="9"/>
      <c r="G562" s="9"/>
      <c r="H562" s="9"/>
    </row>
    <row r="563">
      <c r="B563" s="42"/>
      <c r="C563" s="42"/>
      <c r="D563" s="9"/>
      <c r="E563" s="9"/>
      <c r="F563" s="9"/>
      <c r="G563" s="9"/>
      <c r="H563" s="9"/>
    </row>
    <row r="564">
      <c r="B564" s="42"/>
      <c r="C564" s="42"/>
      <c r="D564" s="9"/>
      <c r="E564" s="9"/>
      <c r="F564" s="9"/>
      <c r="G564" s="9"/>
      <c r="H564" s="9"/>
    </row>
    <row r="565">
      <c r="B565" s="42"/>
      <c r="C565" s="42"/>
      <c r="D565" s="9"/>
      <c r="E565" s="9"/>
      <c r="F565" s="9"/>
      <c r="G565" s="9"/>
      <c r="H565" s="9"/>
    </row>
    <row r="566">
      <c r="B566" s="42"/>
      <c r="C566" s="42"/>
      <c r="D566" s="9"/>
      <c r="E566" s="9"/>
      <c r="F566" s="9"/>
      <c r="G566" s="9"/>
      <c r="H566" s="9"/>
    </row>
    <row r="567">
      <c r="B567" s="42"/>
      <c r="C567" s="42"/>
      <c r="D567" s="9"/>
      <c r="E567" s="9"/>
      <c r="F567" s="9"/>
      <c r="G567" s="9"/>
      <c r="H567" s="9"/>
    </row>
    <row r="568">
      <c r="B568" s="42"/>
      <c r="C568" s="42"/>
      <c r="D568" s="9"/>
      <c r="E568" s="9"/>
      <c r="F568" s="9"/>
      <c r="G568" s="9"/>
      <c r="H568" s="9"/>
    </row>
    <row r="569">
      <c r="B569" s="42"/>
      <c r="C569" s="42"/>
      <c r="D569" s="9"/>
      <c r="E569" s="9"/>
      <c r="F569" s="9"/>
      <c r="G569" s="9"/>
      <c r="H569" s="9"/>
    </row>
    <row r="570">
      <c r="B570" s="42"/>
      <c r="C570" s="42"/>
      <c r="D570" s="9"/>
      <c r="E570" s="9"/>
      <c r="F570" s="9"/>
      <c r="G570" s="9"/>
      <c r="H570" s="9"/>
    </row>
    <row r="571">
      <c r="B571" s="42"/>
      <c r="C571" s="42"/>
      <c r="D571" s="9"/>
      <c r="E571" s="9"/>
      <c r="F571" s="9"/>
      <c r="G571" s="9"/>
      <c r="H571" s="9"/>
    </row>
    <row r="572">
      <c r="B572" s="42"/>
      <c r="C572" s="42"/>
      <c r="D572" s="9"/>
      <c r="E572" s="9"/>
      <c r="F572" s="9"/>
      <c r="G572" s="9"/>
      <c r="H572" s="9"/>
    </row>
    <row r="573">
      <c r="B573" s="42"/>
      <c r="C573" s="42"/>
      <c r="D573" s="9"/>
      <c r="E573" s="9"/>
      <c r="F573" s="9"/>
      <c r="G573" s="9"/>
      <c r="H573" s="9"/>
    </row>
    <row r="574">
      <c r="B574" s="42"/>
      <c r="C574" s="42"/>
      <c r="D574" s="9"/>
      <c r="E574" s="9"/>
      <c r="F574" s="9"/>
      <c r="G574" s="9"/>
      <c r="H574" s="9"/>
    </row>
    <row r="575">
      <c r="B575" s="42"/>
      <c r="C575" s="42"/>
      <c r="D575" s="9"/>
      <c r="E575" s="9"/>
      <c r="F575" s="9"/>
      <c r="G575" s="9"/>
      <c r="H575" s="9"/>
    </row>
    <row r="576">
      <c r="B576" s="42"/>
      <c r="C576" s="42"/>
      <c r="D576" s="9"/>
      <c r="E576" s="9"/>
      <c r="F576" s="9"/>
      <c r="G576" s="9"/>
      <c r="H576" s="9"/>
    </row>
    <row r="577">
      <c r="B577" s="42"/>
      <c r="C577" s="42"/>
      <c r="D577" s="9"/>
      <c r="E577" s="9"/>
      <c r="F577" s="9"/>
      <c r="G577" s="9"/>
      <c r="H577" s="9"/>
    </row>
    <row r="578">
      <c r="B578" s="42"/>
      <c r="C578" s="42"/>
      <c r="D578" s="9"/>
      <c r="E578" s="9"/>
      <c r="F578" s="9"/>
      <c r="G578" s="9"/>
      <c r="H578" s="9"/>
    </row>
    <row r="579">
      <c r="B579" s="42"/>
      <c r="C579" s="42"/>
      <c r="D579" s="9"/>
      <c r="E579" s="9"/>
      <c r="F579" s="9"/>
      <c r="G579" s="9"/>
      <c r="H579" s="9"/>
    </row>
    <row r="580">
      <c r="B580" s="42"/>
      <c r="C580" s="42"/>
      <c r="D580" s="9"/>
      <c r="E580" s="9"/>
      <c r="F580" s="9"/>
      <c r="G580" s="9"/>
      <c r="H580" s="9"/>
    </row>
    <row r="581">
      <c r="B581" s="42"/>
      <c r="C581" s="42"/>
      <c r="D581" s="9"/>
      <c r="E581" s="9"/>
      <c r="F581" s="9"/>
      <c r="G581" s="9"/>
      <c r="H581" s="9"/>
    </row>
    <row r="582">
      <c r="B582" s="42"/>
      <c r="C582" s="42"/>
      <c r="D582" s="9"/>
      <c r="E582" s="9"/>
      <c r="F582" s="9"/>
      <c r="G582" s="9"/>
      <c r="H582" s="9"/>
    </row>
    <row r="583">
      <c r="B583" s="42"/>
      <c r="C583" s="42"/>
      <c r="D583" s="9"/>
      <c r="E583" s="9"/>
      <c r="F583" s="9"/>
      <c r="G583" s="9"/>
      <c r="H583" s="9"/>
    </row>
    <row r="584">
      <c r="B584" s="42"/>
      <c r="C584" s="42"/>
      <c r="D584" s="9"/>
      <c r="E584" s="9"/>
      <c r="F584" s="9"/>
      <c r="G584" s="9"/>
      <c r="H584" s="9"/>
    </row>
    <row r="585">
      <c r="B585" s="42"/>
      <c r="C585" s="42"/>
      <c r="D585" s="9"/>
      <c r="E585" s="9"/>
      <c r="F585" s="9"/>
      <c r="G585" s="9"/>
      <c r="H585" s="9"/>
    </row>
    <row r="586">
      <c r="B586" s="42"/>
      <c r="C586" s="42"/>
      <c r="D586" s="9"/>
      <c r="E586" s="9"/>
      <c r="F586" s="9"/>
      <c r="G586" s="9"/>
      <c r="H586" s="9"/>
    </row>
    <row r="587">
      <c r="B587" s="42"/>
      <c r="C587" s="42"/>
      <c r="D587" s="9"/>
      <c r="E587" s="9"/>
      <c r="F587" s="9"/>
      <c r="G587" s="9"/>
      <c r="H587" s="9"/>
    </row>
    <row r="588">
      <c r="B588" s="42"/>
      <c r="C588" s="42"/>
      <c r="D588" s="9"/>
      <c r="E588" s="9"/>
      <c r="F588" s="9"/>
      <c r="G588" s="9"/>
      <c r="H588" s="9"/>
    </row>
    <row r="589">
      <c r="B589" s="42"/>
      <c r="C589" s="42"/>
      <c r="D589" s="9"/>
      <c r="E589" s="9"/>
      <c r="F589" s="9"/>
      <c r="G589" s="9"/>
      <c r="H589" s="9"/>
    </row>
    <row r="590">
      <c r="B590" s="42"/>
      <c r="C590" s="42"/>
      <c r="D590" s="9"/>
      <c r="E590" s="9"/>
      <c r="F590" s="9"/>
      <c r="G590" s="9"/>
      <c r="H590" s="9"/>
    </row>
    <row r="591">
      <c r="B591" s="42"/>
      <c r="C591" s="42"/>
      <c r="D591" s="9"/>
      <c r="E591" s="9"/>
      <c r="F591" s="9"/>
      <c r="G591" s="9"/>
      <c r="H591" s="9"/>
    </row>
    <row r="592">
      <c r="B592" s="42"/>
      <c r="C592" s="42"/>
      <c r="D592" s="9"/>
      <c r="E592" s="9"/>
      <c r="F592" s="9"/>
      <c r="G592" s="9"/>
      <c r="H592" s="9"/>
    </row>
    <row r="593">
      <c r="B593" s="42"/>
      <c r="C593" s="42"/>
      <c r="D593" s="9"/>
      <c r="E593" s="9"/>
      <c r="F593" s="9"/>
      <c r="G593" s="9"/>
      <c r="H593" s="9"/>
    </row>
    <row r="594">
      <c r="B594" s="42"/>
      <c r="C594" s="42"/>
      <c r="D594" s="9"/>
      <c r="E594" s="9"/>
      <c r="F594" s="9"/>
      <c r="G594" s="9"/>
      <c r="H594" s="9"/>
    </row>
    <row r="595">
      <c r="B595" s="42"/>
      <c r="C595" s="42"/>
      <c r="D595" s="9"/>
      <c r="E595" s="9"/>
      <c r="F595" s="9"/>
      <c r="G595" s="9"/>
      <c r="H595" s="9"/>
    </row>
    <row r="596">
      <c r="B596" s="42"/>
      <c r="C596" s="42"/>
      <c r="D596" s="9"/>
      <c r="E596" s="9"/>
      <c r="F596" s="9"/>
      <c r="G596" s="9"/>
      <c r="H596" s="9"/>
    </row>
    <row r="597">
      <c r="B597" s="42"/>
      <c r="C597" s="42"/>
      <c r="D597" s="9"/>
      <c r="E597" s="9"/>
      <c r="F597" s="9"/>
      <c r="G597" s="9"/>
      <c r="H597" s="9"/>
    </row>
    <row r="598">
      <c r="B598" s="42"/>
      <c r="C598" s="42"/>
      <c r="D598" s="9"/>
      <c r="E598" s="9"/>
      <c r="F598" s="9"/>
      <c r="G598" s="9"/>
      <c r="H598" s="9"/>
    </row>
    <row r="599">
      <c r="B599" s="42"/>
      <c r="C599" s="42"/>
      <c r="D599" s="9"/>
      <c r="E599" s="9"/>
      <c r="F599" s="9"/>
      <c r="G599" s="9"/>
      <c r="H599" s="9"/>
    </row>
    <row r="600">
      <c r="B600" s="42"/>
      <c r="C600" s="42"/>
      <c r="D600" s="9"/>
      <c r="E600" s="9"/>
      <c r="F600" s="9"/>
      <c r="G600" s="9"/>
      <c r="H600" s="9"/>
    </row>
    <row r="601">
      <c r="B601" s="42"/>
      <c r="C601" s="42"/>
      <c r="D601" s="9"/>
      <c r="E601" s="9"/>
      <c r="F601" s="9"/>
      <c r="G601" s="9"/>
      <c r="H601" s="9"/>
    </row>
    <row r="602">
      <c r="B602" s="42"/>
      <c r="C602" s="42"/>
      <c r="D602" s="9"/>
      <c r="E602" s="9"/>
      <c r="F602" s="9"/>
      <c r="G602" s="9"/>
      <c r="H602" s="9"/>
    </row>
    <row r="603">
      <c r="B603" s="42"/>
      <c r="C603" s="42"/>
      <c r="D603" s="9"/>
      <c r="E603" s="9"/>
      <c r="F603" s="9"/>
      <c r="G603" s="9"/>
      <c r="H603" s="9"/>
    </row>
    <row r="604">
      <c r="B604" s="42"/>
      <c r="C604" s="42"/>
      <c r="D604" s="9"/>
      <c r="E604" s="9"/>
      <c r="F604" s="9"/>
      <c r="G604" s="9"/>
      <c r="H604" s="9"/>
    </row>
    <row r="605">
      <c r="B605" s="42"/>
      <c r="C605" s="42"/>
      <c r="D605" s="9"/>
      <c r="E605" s="9"/>
      <c r="F605" s="9"/>
      <c r="G605" s="9"/>
      <c r="H605" s="9"/>
    </row>
    <row r="606">
      <c r="B606" s="42"/>
      <c r="C606" s="42"/>
      <c r="D606" s="9"/>
      <c r="E606" s="9"/>
      <c r="F606" s="9"/>
      <c r="G606" s="9"/>
      <c r="H606" s="9"/>
    </row>
    <row r="607">
      <c r="B607" s="42"/>
      <c r="C607" s="42"/>
      <c r="D607" s="9"/>
      <c r="E607" s="9"/>
      <c r="F607" s="9"/>
      <c r="G607" s="9"/>
      <c r="H607" s="9"/>
    </row>
    <row r="608">
      <c r="B608" s="42"/>
      <c r="C608" s="42"/>
      <c r="D608" s="9"/>
      <c r="E608" s="9"/>
      <c r="F608" s="9"/>
      <c r="G608" s="9"/>
      <c r="H608" s="9"/>
    </row>
    <row r="609">
      <c r="B609" s="42"/>
      <c r="C609" s="42"/>
      <c r="D609" s="9"/>
      <c r="E609" s="9"/>
      <c r="F609" s="9"/>
      <c r="G609" s="9"/>
      <c r="H609" s="9"/>
    </row>
    <row r="610">
      <c r="B610" s="42"/>
      <c r="C610" s="42"/>
      <c r="D610" s="9"/>
      <c r="E610" s="9"/>
      <c r="F610" s="9"/>
      <c r="G610" s="9"/>
      <c r="H610" s="9"/>
    </row>
    <row r="611">
      <c r="B611" s="42"/>
      <c r="C611" s="42"/>
      <c r="D611" s="9"/>
      <c r="E611" s="9"/>
      <c r="F611" s="9"/>
      <c r="G611" s="9"/>
      <c r="H611" s="9"/>
    </row>
    <row r="612">
      <c r="B612" s="42"/>
      <c r="C612" s="42"/>
      <c r="D612" s="9"/>
      <c r="E612" s="9"/>
      <c r="F612" s="9"/>
      <c r="G612" s="9"/>
      <c r="H612" s="9"/>
    </row>
    <row r="613">
      <c r="B613" s="42"/>
      <c r="C613" s="42"/>
      <c r="D613" s="9"/>
      <c r="E613" s="9"/>
      <c r="F613" s="9"/>
      <c r="G613" s="9"/>
      <c r="H613" s="9"/>
    </row>
    <row r="614">
      <c r="B614" s="42"/>
      <c r="C614" s="42"/>
      <c r="D614" s="9"/>
      <c r="E614" s="9"/>
      <c r="F614" s="9"/>
      <c r="G614" s="9"/>
      <c r="H614" s="9"/>
    </row>
    <row r="615">
      <c r="B615" s="42"/>
      <c r="C615" s="42"/>
      <c r="D615" s="9"/>
      <c r="E615" s="9"/>
      <c r="F615" s="9"/>
      <c r="G615" s="9"/>
      <c r="H615" s="9"/>
    </row>
    <row r="616">
      <c r="B616" s="42"/>
      <c r="C616" s="42"/>
      <c r="D616" s="9"/>
      <c r="E616" s="9"/>
      <c r="F616" s="9"/>
      <c r="G616" s="9"/>
      <c r="H616" s="9"/>
    </row>
    <row r="617">
      <c r="B617" s="42"/>
      <c r="C617" s="42"/>
      <c r="D617" s="9"/>
      <c r="E617" s="9"/>
      <c r="F617" s="9"/>
      <c r="G617" s="9"/>
      <c r="H617" s="9"/>
    </row>
    <row r="618">
      <c r="B618" s="42"/>
      <c r="C618" s="42"/>
      <c r="D618" s="9"/>
      <c r="E618" s="9"/>
      <c r="F618" s="9"/>
      <c r="G618" s="9"/>
      <c r="H618" s="9"/>
    </row>
    <row r="619">
      <c r="B619" s="42"/>
      <c r="C619" s="42"/>
      <c r="D619" s="9"/>
      <c r="E619" s="9"/>
      <c r="F619" s="9"/>
      <c r="G619" s="9"/>
      <c r="H619" s="9"/>
    </row>
    <row r="620">
      <c r="B620" s="42"/>
      <c r="C620" s="42"/>
      <c r="D620" s="9"/>
      <c r="E620" s="9"/>
      <c r="F620" s="9"/>
      <c r="G620" s="9"/>
      <c r="H620" s="9"/>
    </row>
    <row r="621">
      <c r="B621" s="42"/>
      <c r="C621" s="42"/>
      <c r="D621" s="9"/>
      <c r="E621" s="9"/>
      <c r="F621" s="9"/>
      <c r="G621" s="9"/>
      <c r="H621" s="9"/>
    </row>
    <row r="622">
      <c r="B622" s="42"/>
      <c r="C622" s="42"/>
      <c r="D622" s="9"/>
      <c r="E622" s="9"/>
      <c r="F622" s="9"/>
      <c r="G622" s="9"/>
      <c r="H622" s="9"/>
    </row>
    <row r="623">
      <c r="B623" s="42"/>
      <c r="C623" s="42"/>
      <c r="D623" s="9"/>
      <c r="E623" s="9"/>
      <c r="F623" s="9"/>
      <c r="G623" s="9"/>
      <c r="H623" s="9"/>
    </row>
    <row r="624">
      <c r="B624" s="42"/>
      <c r="C624" s="42"/>
      <c r="D624" s="9"/>
      <c r="E624" s="9"/>
      <c r="F624" s="9"/>
      <c r="G624" s="9"/>
      <c r="H624" s="9"/>
    </row>
    <row r="625">
      <c r="B625" s="42"/>
      <c r="C625" s="42"/>
      <c r="D625" s="9"/>
      <c r="E625" s="9"/>
      <c r="F625" s="9"/>
      <c r="G625" s="9"/>
      <c r="H625" s="9"/>
    </row>
    <row r="626">
      <c r="B626" s="42"/>
      <c r="C626" s="42"/>
      <c r="D626" s="9"/>
      <c r="E626" s="9"/>
      <c r="F626" s="9"/>
      <c r="G626" s="9"/>
      <c r="H626" s="9"/>
    </row>
    <row r="627">
      <c r="B627" s="42"/>
      <c r="C627" s="42"/>
      <c r="D627" s="9"/>
      <c r="E627" s="9"/>
      <c r="F627" s="9"/>
      <c r="G627" s="9"/>
      <c r="H627" s="9"/>
    </row>
    <row r="628">
      <c r="B628" s="42"/>
      <c r="C628" s="42"/>
      <c r="D628" s="9"/>
      <c r="E628" s="9"/>
      <c r="F628" s="9"/>
      <c r="G628" s="9"/>
      <c r="H628" s="9"/>
    </row>
    <row r="629">
      <c r="B629" s="42"/>
      <c r="C629" s="42"/>
      <c r="D629" s="9"/>
      <c r="E629" s="9"/>
      <c r="F629" s="9"/>
      <c r="G629" s="9"/>
      <c r="H629" s="9"/>
    </row>
    <row r="630">
      <c r="B630" s="42"/>
      <c r="C630" s="42"/>
      <c r="D630" s="9"/>
      <c r="E630" s="9"/>
      <c r="F630" s="9"/>
      <c r="G630" s="9"/>
      <c r="H630" s="9"/>
    </row>
    <row r="631">
      <c r="B631" s="42"/>
      <c r="C631" s="42"/>
      <c r="D631" s="9"/>
      <c r="E631" s="9"/>
      <c r="F631" s="9"/>
      <c r="G631" s="9"/>
      <c r="H631" s="9"/>
    </row>
    <row r="632">
      <c r="B632" s="42"/>
      <c r="C632" s="42"/>
      <c r="D632" s="9"/>
      <c r="E632" s="9"/>
      <c r="F632" s="9"/>
      <c r="G632" s="9"/>
      <c r="H632" s="9"/>
    </row>
    <row r="633">
      <c r="B633" s="42"/>
      <c r="C633" s="42"/>
      <c r="D633" s="9"/>
      <c r="E633" s="9"/>
      <c r="F633" s="9"/>
      <c r="G633" s="9"/>
      <c r="H633" s="9"/>
    </row>
    <row r="634">
      <c r="B634" s="42"/>
      <c r="C634" s="42"/>
      <c r="D634" s="9"/>
      <c r="E634" s="9"/>
      <c r="F634" s="9"/>
      <c r="G634" s="9"/>
      <c r="H634" s="9"/>
    </row>
    <row r="635">
      <c r="B635" s="42"/>
      <c r="C635" s="42"/>
      <c r="D635" s="9"/>
      <c r="E635" s="9"/>
      <c r="F635" s="9"/>
      <c r="G635" s="9"/>
      <c r="H635" s="9"/>
    </row>
    <row r="636">
      <c r="B636" s="42"/>
      <c r="C636" s="42"/>
      <c r="D636" s="9"/>
      <c r="E636" s="9"/>
      <c r="F636" s="9"/>
      <c r="G636" s="9"/>
      <c r="H636" s="9"/>
    </row>
    <row r="637">
      <c r="B637" s="42"/>
      <c r="C637" s="42"/>
      <c r="D637" s="9"/>
      <c r="E637" s="9"/>
      <c r="F637" s="9"/>
      <c r="G637" s="9"/>
      <c r="H637" s="9"/>
    </row>
    <row r="638">
      <c r="B638" s="42"/>
      <c r="C638" s="42"/>
      <c r="D638" s="9"/>
      <c r="E638" s="9"/>
      <c r="F638" s="9"/>
      <c r="G638" s="9"/>
      <c r="H638" s="9"/>
    </row>
    <row r="639">
      <c r="B639" s="42"/>
      <c r="C639" s="42"/>
      <c r="D639" s="9"/>
      <c r="E639" s="9"/>
      <c r="F639" s="9"/>
      <c r="G639" s="9"/>
      <c r="H639" s="9"/>
    </row>
    <row r="640">
      <c r="B640" s="42"/>
      <c r="C640" s="42"/>
      <c r="D640" s="9"/>
      <c r="E640" s="9"/>
      <c r="F640" s="9"/>
      <c r="G640" s="9"/>
      <c r="H640" s="9"/>
    </row>
    <row r="641">
      <c r="B641" s="42"/>
      <c r="C641" s="42"/>
      <c r="D641" s="9"/>
      <c r="E641" s="9"/>
      <c r="F641" s="9"/>
      <c r="G641" s="9"/>
      <c r="H641" s="9"/>
    </row>
    <row r="642">
      <c r="B642" s="42"/>
      <c r="C642" s="42"/>
      <c r="D642" s="9"/>
      <c r="E642" s="9"/>
      <c r="F642" s="9"/>
      <c r="G642" s="9"/>
      <c r="H642" s="9"/>
    </row>
    <row r="643">
      <c r="B643" s="42"/>
      <c r="C643" s="42"/>
      <c r="D643" s="9"/>
      <c r="E643" s="9"/>
      <c r="F643" s="9"/>
      <c r="G643" s="9"/>
      <c r="H643" s="9"/>
    </row>
    <row r="644">
      <c r="B644" s="42"/>
      <c r="C644" s="42"/>
      <c r="D644" s="9"/>
      <c r="E644" s="9"/>
      <c r="F644" s="9"/>
      <c r="G644" s="9"/>
      <c r="H644" s="9"/>
    </row>
    <row r="645">
      <c r="B645" s="42"/>
      <c r="C645" s="42"/>
      <c r="D645" s="9"/>
      <c r="E645" s="9"/>
      <c r="F645" s="9"/>
      <c r="G645" s="9"/>
      <c r="H645" s="9"/>
    </row>
    <row r="646">
      <c r="B646" s="42"/>
      <c r="C646" s="42"/>
      <c r="D646" s="9"/>
      <c r="E646" s="9"/>
      <c r="F646" s="9"/>
      <c r="G646" s="9"/>
      <c r="H646" s="9"/>
    </row>
    <row r="647">
      <c r="B647" s="42"/>
      <c r="C647" s="42"/>
      <c r="D647" s="9"/>
      <c r="E647" s="9"/>
      <c r="F647" s="9"/>
      <c r="G647" s="9"/>
      <c r="H647" s="9"/>
    </row>
    <row r="648">
      <c r="B648" s="42"/>
      <c r="C648" s="42"/>
      <c r="D648" s="9"/>
      <c r="E648" s="9"/>
      <c r="F648" s="9"/>
      <c r="G648" s="9"/>
      <c r="H648" s="9"/>
    </row>
    <row r="649">
      <c r="B649" s="42"/>
      <c r="C649" s="42"/>
      <c r="D649" s="9"/>
      <c r="E649" s="9"/>
      <c r="F649" s="9"/>
      <c r="G649" s="9"/>
      <c r="H649" s="9"/>
    </row>
    <row r="650">
      <c r="B650" s="42"/>
      <c r="C650" s="42"/>
      <c r="D650" s="9"/>
      <c r="E650" s="9"/>
      <c r="F650" s="9"/>
      <c r="G650" s="9"/>
      <c r="H650" s="9"/>
    </row>
    <row r="651">
      <c r="B651" s="42"/>
      <c r="C651" s="42"/>
      <c r="D651" s="9"/>
      <c r="E651" s="9"/>
      <c r="F651" s="9"/>
      <c r="G651" s="9"/>
      <c r="H651" s="9"/>
    </row>
    <row r="652">
      <c r="B652" s="42"/>
      <c r="C652" s="42"/>
      <c r="D652" s="9"/>
      <c r="E652" s="9"/>
      <c r="F652" s="9"/>
      <c r="G652" s="9"/>
      <c r="H652" s="9"/>
    </row>
    <row r="653">
      <c r="B653" s="42"/>
      <c r="C653" s="42"/>
      <c r="D653" s="9"/>
      <c r="E653" s="9"/>
      <c r="F653" s="9"/>
      <c r="G653" s="9"/>
      <c r="H653" s="9"/>
    </row>
    <row r="654">
      <c r="B654" s="42"/>
      <c r="C654" s="42"/>
      <c r="D654" s="9"/>
      <c r="E654" s="9"/>
      <c r="F654" s="9"/>
      <c r="G654" s="9"/>
      <c r="H654" s="9"/>
    </row>
    <row r="655">
      <c r="B655" s="42"/>
      <c r="C655" s="42"/>
      <c r="D655" s="9"/>
      <c r="E655" s="9"/>
      <c r="F655" s="9"/>
      <c r="G655" s="9"/>
      <c r="H655" s="9"/>
    </row>
    <row r="656">
      <c r="B656" s="42"/>
      <c r="C656" s="42"/>
      <c r="D656" s="9"/>
      <c r="E656" s="9"/>
      <c r="F656" s="9"/>
      <c r="G656" s="9"/>
      <c r="H656" s="9"/>
    </row>
    <row r="657">
      <c r="B657" s="42"/>
      <c r="C657" s="42"/>
      <c r="D657" s="9"/>
      <c r="E657" s="9"/>
      <c r="F657" s="9"/>
      <c r="G657" s="9"/>
      <c r="H657" s="9"/>
    </row>
    <row r="658">
      <c r="B658" s="42"/>
      <c r="C658" s="42"/>
      <c r="D658" s="9"/>
      <c r="E658" s="9"/>
      <c r="F658" s="9"/>
      <c r="G658" s="9"/>
      <c r="H658" s="9"/>
    </row>
    <row r="659">
      <c r="B659" s="42"/>
      <c r="C659" s="42"/>
      <c r="D659" s="9"/>
      <c r="E659" s="9"/>
      <c r="F659" s="9"/>
      <c r="G659" s="9"/>
      <c r="H659" s="9"/>
    </row>
    <row r="660">
      <c r="B660" s="42"/>
      <c r="C660" s="42"/>
      <c r="D660" s="9"/>
      <c r="E660" s="9"/>
      <c r="F660" s="9"/>
      <c r="G660" s="9"/>
      <c r="H660" s="9"/>
    </row>
    <row r="661">
      <c r="B661" s="42"/>
      <c r="C661" s="42"/>
      <c r="D661" s="9"/>
      <c r="E661" s="9"/>
      <c r="F661" s="9"/>
      <c r="G661" s="9"/>
      <c r="H661" s="9"/>
    </row>
    <row r="662">
      <c r="B662" s="42"/>
      <c r="C662" s="42"/>
      <c r="D662" s="9"/>
      <c r="E662" s="9"/>
      <c r="F662" s="9"/>
      <c r="G662" s="9"/>
      <c r="H662" s="9"/>
    </row>
    <row r="663">
      <c r="B663" s="42"/>
      <c r="C663" s="42"/>
      <c r="D663" s="9"/>
      <c r="E663" s="9"/>
      <c r="F663" s="9"/>
      <c r="G663" s="9"/>
      <c r="H663" s="9"/>
    </row>
    <row r="664">
      <c r="B664" s="42"/>
      <c r="C664" s="42"/>
      <c r="D664" s="9"/>
      <c r="E664" s="9"/>
      <c r="F664" s="9"/>
      <c r="G664" s="9"/>
      <c r="H664" s="9"/>
    </row>
    <row r="665">
      <c r="B665" s="42"/>
      <c r="C665" s="42"/>
      <c r="D665" s="9"/>
      <c r="E665" s="9"/>
      <c r="F665" s="9"/>
      <c r="G665" s="9"/>
      <c r="H665" s="9"/>
    </row>
    <row r="666">
      <c r="B666" s="42"/>
      <c r="C666" s="42"/>
      <c r="D666" s="9"/>
      <c r="E666" s="9"/>
      <c r="F666" s="9"/>
      <c r="G666" s="9"/>
      <c r="H666" s="9"/>
    </row>
    <row r="667">
      <c r="B667" s="42"/>
      <c r="C667" s="42"/>
      <c r="D667" s="9"/>
      <c r="E667" s="9"/>
      <c r="F667" s="9"/>
      <c r="G667" s="9"/>
      <c r="H667" s="9"/>
    </row>
    <row r="668">
      <c r="B668" s="42"/>
      <c r="C668" s="42"/>
      <c r="D668" s="9"/>
      <c r="E668" s="9"/>
      <c r="F668" s="9"/>
      <c r="G668" s="9"/>
      <c r="H668" s="9"/>
    </row>
    <row r="669">
      <c r="B669" s="42"/>
      <c r="C669" s="42"/>
      <c r="D669" s="9"/>
      <c r="E669" s="9"/>
      <c r="F669" s="9"/>
      <c r="G669" s="9"/>
      <c r="H669" s="9"/>
    </row>
    <row r="670">
      <c r="B670" s="42"/>
      <c r="C670" s="42"/>
      <c r="D670" s="9"/>
      <c r="E670" s="9"/>
      <c r="F670" s="9"/>
      <c r="G670" s="9"/>
      <c r="H670" s="9"/>
    </row>
    <row r="671">
      <c r="B671" s="42"/>
      <c r="C671" s="42"/>
      <c r="D671" s="9"/>
      <c r="E671" s="9"/>
      <c r="F671" s="9"/>
      <c r="G671" s="9"/>
      <c r="H671" s="9"/>
    </row>
    <row r="672">
      <c r="B672" s="42"/>
      <c r="C672" s="42"/>
      <c r="D672" s="9"/>
      <c r="E672" s="9"/>
      <c r="F672" s="9"/>
      <c r="G672" s="9"/>
      <c r="H672" s="9"/>
    </row>
    <row r="673">
      <c r="B673" s="42"/>
      <c r="C673" s="42"/>
      <c r="D673" s="9"/>
      <c r="E673" s="9"/>
      <c r="F673" s="9"/>
      <c r="G673" s="9"/>
      <c r="H673" s="9"/>
    </row>
    <row r="674">
      <c r="B674" s="42"/>
      <c r="C674" s="42"/>
      <c r="D674" s="9"/>
      <c r="E674" s="9"/>
      <c r="F674" s="9"/>
      <c r="G674" s="9"/>
      <c r="H674" s="9"/>
    </row>
    <row r="675">
      <c r="B675" s="42"/>
      <c r="C675" s="42"/>
      <c r="D675" s="9"/>
      <c r="E675" s="9"/>
      <c r="F675" s="9"/>
      <c r="G675" s="9"/>
      <c r="H675" s="9"/>
    </row>
    <row r="676">
      <c r="B676" s="42"/>
      <c r="C676" s="42"/>
      <c r="D676" s="9"/>
      <c r="E676" s="9"/>
      <c r="F676" s="9"/>
      <c r="G676" s="9"/>
      <c r="H676" s="9"/>
    </row>
    <row r="677">
      <c r="B677" s="42"/>
      <c r="C677" s="42"/>
      <c r="D677" s="9"/>
      <c r="E677" s="9"/>
      <c r="F677" s="9"/>
      <c r="G677" s="9"/>
      <c r="H677" s="9"/>
    </row>
    <row r="678">
      <c r="B678" s="42"/>
      <c r="C678" s="42"/>
      <c r="D678" s="9"/>
      <c r="E678" s="9"/>
      <c r="F678" s="9"/>
      <c r="G678" s="9"/>
      <c r="H678" s="9"/>
    </row>
    <row r="679">
      <c r="B679" s="42"/>
      <c r="C679" s="42"/>
      <c r="D679" s="9"/>
      <c r="E679" s="9"/>
      <c r="F679" s="9"/>
      <c r="G679" s="9"/>
      <c r="H679" s="9"/>
    </row>
    <row r="680">
      <c r="B680" s="42"/>
      <c r="C680" s="42"/>
      <c r="D680" s="9"/>
      <c r="E680" s="9"/>
      <c r="F680" s="9"/>
      <c r="G680" s="9"/>
      <c r="H680" s="9"/>
    </row>
    <row r="681">
      <c r="B681" s="42"/>
      <c r="C681" s="42"/>
      <c r="D681" s="9"/>
      <c r="E681" s="9"/>
      <c r="F681" s="9"/>
      <c r="G681" s="9"/>
      <c r="H681" s="9"/>
    </row>
    <row r="682">
      <c r="B682" s="42"/>
      <c r="C682" s="42"/>
      <c r="D682" s="9"/>
      <c r="E682" s="9"/>
      <c r="F682" s="9"/>
      <c r="G682" s="9"/>
      <c r="H682" s="9"/>
    </row>
    <row r="683">
      <c r="B683" s="42"/>
      <c r="C683" s="42"/>
      <c r="D683" s="9"/>
      <c r="E683" s="9"/>
      <c r="F683" s="9"/>
      <c r="G683" s="9"/>
      <c r="H683" s="9"/>
    </row>
    <row r="684">
      <c r="B684" s="42"/>
      <c r="C684" s="42"/>
      <c r="D684" s="9"/>
      <c r="E684" s="9"/>
      <c r="F684" s="9"/>
      <c r="G684" s="9"/>
      <c r="H684" s="9"/>
    </row>
    <row r="685">
      <c r="B685" s="42"/>
      <c r="C685" s="42"/>
      <c r="D685" s="9"/>
      <c r="E685" s="9"/>
      <c r="F685" s="9"/>
      <c r="G685" s="9"/>
      <c r="H685" s="9"/>
    </row>
    <row r="686">
      <c r="B686" s="42"/>
      <c r="C686" s="42"/>
      <c r="D686" s="9"/>
      <c r="E686" s="9"/>
      <c r="F686" s="9"/>
      <c r="G686" s="9"/>
      <c r="H686" s="9"/>
    </row>
    <row r="687">
      <c r="B687" s="42"/>
      <c r="C687" s="42"/>
      <c r="D687" s="9"/>
      <c r="E687" s="9"/>
      <c r="F687" s="9"/>
      <c r="G687" s="9"/>
      <c r="H687" s="9"/>
    </row>
    <row r="688">
      <c r="B688" s="42"/>
      <c r="C688" s="42"/>
      <c r="D688" s="9"/>
      <c r="E688" s="9"/>
      <c r="F688" s="9"/>
      <c r="G688" s="9"/>
      <c r="H688" s="9"/>
    </row>
    <row r="689">
      <c r="B689" s="42"/>
      <c r="C689" s="42"/>
      <c r="D689" s="9"/>
      <c r="E689" s="9"/>
      <c r="F689" s="9"/>
      <c r="G689" s="9"/>
      <c r="H689" s="9"/>
    </row>
    <row r="690">
      <c r="B690" s="42"/>
      <c r="C690" s="42"/>
      <c r="D690" s="9"/>
      <c r="E690" s="9"/>
      <c r="F690" s="9"/>
      <c r="G690" s="9"/>
      <c r="H690" s="9"/>
    </row>
    <row r="691">
      <c r="B691" s="42"/>
      <c r="C691" s="42"/>
      <c r="D691" s="9"/>
      <c r="E691" s="9"/>
      <c r="F691" s="9"/>
      <c r="G691" s="9"/>
      <c r="H691" s="9"/>
    </row>
    <row r="692">
      <c r="B692" s="42"/>
      <c r="C692" s="42"/>
      <c r="D692" s="9"/>
      <c r="E692" s="9"/>
      <c r="F692" s="9"/>
      <c r="G692" s="9"/>
      <c r="H692" s="9"/>
    </row>
    <row r="693">
      <c r="B693" s="42"/>
      <c r="C693" s="42"/>
      <c r="D693" s="9"/>
      <c r="E693" s="9"/>
      <c r="F693" s="9"/>
      <c r="G693" s="9"/>
      <c r="H693" s="9"/>
    </row>
    <row r="694">
      <c r="B694" s="42"/>
      <c r="C694" s="42"/>
      <c r="D694" s="9"/>
      <c r="E694" s="9"/>
      <c r="F694" s="9"/>
      <c r="G694" s="9"/>
      <c r="H694" s="9"/>
    </row>
    <row r="695">
      <c r="B695" s="42"/>
      <c r="C695" s="42"/>
      <c r="D695" s="9"/>
      <c r="E695" s="9"/>
      <c r="F695" s="9"/>
      <c r="G695" s="9"/>
      <c r="H695" s="9"/>
    </row>
    <row r="696">
      <c r="B696" s="42"/>
      <c r="C696" s="42"/>
      <c r="D696" s="9"/>
      <c r="E696" s="9"/>
      <c r="F696" s="9"/>
      <c r="G696" s="9"/>
      <c r="H696" s="9"/>
    </row>
    <row r="697">
      <c r="B697" s="42"/>
      <c r="C697" s="42"/>
      <c r="D697" s="9"/>
      <c r="E697" s="9"/>
      <c r="F697" s="9"/>
      <c r="G697" s="9"/>
      <c r="H697" s="9"/>
    </row>
    <row r="698">
      <c r="B698" s="42"/>
      <c r="C698" s="42"/>
      <c r="D698" s="9"/>
      <c r="E698" s="9"/>
      <c r="F698" s="9"/>
      <c r="G698" s="9"/>
      <c r="H698" s="9"/>
    </row>
    <row r="699">
      <c r="B699" s="42"/>
      <c r="C699" s="42"/>
      <c r="D699" s="9"/>
      <c r="E699" s="9"/>
      <c r="F699" s="9"/>
      <c r="G699" s="9"/>
      <c r="H699" s="9"/>
    </row>
    <row r="700">
      <c r="B700" s="42"/>
      <c r="C700" s="42"/>
      <c r="D700" s="9"/>
      <c r="E700" s="9"/>
      <c r="F700" s="9"/>
      <c r="G700" s="9"/>
      <c r="H700" s="9"/>
    </row>
    <row r="701">
      <c r="B701" s="42"/>
      <c r="C701" s="42"/>
      <c r="D701" s="9"/>
      <c r="E701" s="9"/>
      <c r="F701" s="9"/>
      <c r="G701" s="9"/>
      <c r="H701" s="9"/>
    </row>
    <row r="702">
      <c r="B702" s="42"/>
      <c r="C702" s="42"/>
      <c r="D702" s="9"/>
      <c r="E702" s="9"/>
      <c r="F702" s="9"/>
      <c r="G702" s="9"/>
      <c r="H702" s="9"/>
    </row>
    <row r="703">
      <c r="B703" s="42"/>
      <c r="C703" s="42"/>
      <c r="D703" s="9"/>
      <c r="E703" s="9"/>
      <c r="F703" s="9"/>
      <c r="G703" s="9"/>
      <c r="H703" s="9"/>
    </row>
    <row r="704">
      <c r="B704" s="42"/>
      <c r="C704" s="42"/>
      <c r="D704" s="9"/>
      <c r="E704" s="9"/>
      <c r="F704" s="9"/>
      <c r="G704" s="9"/>
      <c r="H704" s="9"/>
    </row>
    <row r="705">
      <c r="B705" s="42"/>
      <c r="C705" s="42"/>
      <c r="D705" s="9"/>
      <c r="E705" s="9"/>
      <c r="F705" s="9"/>
      <c r="G705" s="9"/>
      <c r="H705" s="9"/>
    </row>
    <row r="706">
      <c r="B706" s="42"/>
      <c r="C706" s="42"/>
      <c r="D706" s="9"/>
      <c r="E706" s="9"/>
      <c r="F706" s="9"/>
      <c r="G706" s="9"/>
      <c r="H706" s="9"/>
    </row>
    <row r="707">
      <c r="B707" s="42"/>
      <c r="C707" s="42"/>
      <c r="D707" s="9"/>
      <c r="E707" s="9"/>
      <c r="F707" s="9"/>
      <c r="G707" s="9"/>
      <c r="H707" s="9"/>
    </row>
    <row r="708">
      <c r="B708" s="42"/>
      <c r="C708" s="42"/>
      <c r="D708" s="9"/>
      <c r="E708" s="9"/>
      <c r="F708" s="9"/>
      <c r="G708" s="9"/>
      <c r="H708" s="9"/>
    </row>
    <row r="709">
      <c r="B709" s="42"/>
      <c r="C709" s="42"/>
      <c r="D709" s="9"/>
      <c r="E709" s="9"/>
      <c r="F709" s="9"/>
      <c r="G709" s="9"/>
      <c r="H709" s="9"/>
    </row>
    <row r="710">
      <c r="B710" s="42"/>
      <c r="C710" s="42"/>
      <c r="D710" s="9"/>
      <c r="E710" s="9"/>
      <c r="F710" s="9"/>
      <c r="G710" s="9"/>
      <c r="H710" s="9"/>
    </row>
    <row r="711">
      <c r="B711" s="42"/>
      <c r="C711" s="42"/>
      <c r="D711" s="9"/>
      <c r="E711" s="9"/>
      <c r="F711" s="9"/>
      <c r="G711" s="9"/>
      <c r="H711" s="9"/>
    </row>
    <row r="712">
      <c r="B712" s="42"/>
      <c r="C712" s="42"/>
      <c r="D712" s="9"/>
      <c r="E712" s="9"/>
      <c r="F712" s="9"/>
      <c r="G712" s="9"/>
      <c r="H712" s="9"/>
    </row>
    <row r="713">
      <c r="B713" s="42"/>
      <c r="C713" s="42"/>
      <c r="D713" s="9"/>
      <c r="E713" s="9"/>
      <c r="F713" s="9"/>
      <c r="G713" s="9"/>
      <c r="H713" s="9"/>
    </row>
    <row r="714">
      <c r="B714" s="42"/>
      <c r="C714" s="42"/>
      <c r="D714" s="9"/>
      <c r="E714" s="9"/>
      <c r="F714" s="9"/>
      <c r="G714" s="9"/>
      <c r="H714" s="9"/>
    </row>
    <row r="715">
      <c r="B715" s="42"/>
      <c r="C715" s="42"/>
      <c r="D715" s="9"/>
      <c r="E715" s="9"/>
      <c r="F715" s="9"/>
      <c r="G715" s="9"/>
      <c r="H715" s="9"/>
    </row>
    <row r="716">
      <c r="B716" s="42"/>
      <c r="C716" s="42"/>
      <c r="D716" s="9"/>
      <c r="E716" s="9"/>
      <c r="F716" s="9"/>
      <c r="G716" s="9"/>
      <c r="H716" s="9"/>
    </row>
    <row r="717">
      <c r="B717" s="42"/>
      <c r="C717" s="42"/>
      <c r="D717" s="9"/>
      <c r="E717" s="9"/>
      <c r="F717" s="9"/>
      <c r="G717" s="9"/>
      <c r="H717" s="9"/>
    </row>
    <row r="718">
      <c r="B718" s="42"/>
      <c r="C718" s="42"/>
      <c r="D718" s="9"/>
      <c r="E718" s="9"/>
      <c r="F718" s="9"/>
      <c r="G718" s="9"/>
      <c r="H718" s="9"/>
    </row>
    <row r="719">
      <c r="B719" s="42"/>
      <c r="C719" s="42"/>
      <c r="D719" s="9"/>
      <c r="E719" s="9"/>
      <c r="F719" s="9"/>
      <c r="G719" s="9"/>
      <c r="H719" s="9"/>
    </row>
    <row r="720">
      <c r="B720" s="42"/>
      <c r="C720" s="42"/>
      <c r="D720" s="9"/>
      <c r="E720" s="9"/>
      <c r="F720" s="9"/>
      <c r="G720" s="9"/>
      <c r="H720" s="9"/>
    </row>
    <row r="721">
      <c r="B721" s="42"/>
      <c r="C721" s="42"/>
      <c r="D721" s="9"/>
      <c r="E721" s="9"/>
      <c r="F721" s="9"/>
      <c r="G721" s="9"/>
      <c r="H721" s="9"/>
    </row>
    <row r="722">
      <c r="B722" s="42"/>
      <c r="C722" s="42"/>
      <c r="D722" s="9"/>
      <c r="E722" s="9"/>
      <c r="F722" s="9"/>
      <c r="G722" s="9"/>
      <c r="H722" s="9"/>
    </row>
    <row r="723">
      <c r="B723" s="42"/>
      <c r="C723" s="42"/>
      <c r="D723" s="9"/>
      <c r="E723" s="9"/>
      <c r="F723" s="9"/>
      <c r="G723" s="9"/>
      <c r="H723" s="9"/>
    </row>
    <row r="724">
      <c r="B724" s="42"/>
      <c r="C724" s="42"/>
      <c r="D724" s="9"/>
      <c r="E724" s="9"/>
      <c r="F724" s="9"/>
      <c r="G724" s="9"/>
      <c r="H724" s="9"/>
    </row>
    <row r="725">
      <c r="B725" s="42"/>
      <c r="C725" s="42"/>
      <c r="D725" s="9"/>
      <c r="E725" s="9"/>
      <c r="F725" s="9"/>
      <c r="G725" s="9"/>
      <c r="H725" s="9"/>
    </row>
    <row r="726">
      <c r="B726" s="42"/>
      <c r="C726" s="42"/>
      <c r="D726" s="9"/>
      <c r="E726" s="9"/>
      <c r="F726" s="9"/>
      <c r="G726" s="9"/>
      <c r="H726" s="9"/>
    </row>
    <row r="727">
      <c r="B727" s="42"/>
      <c r="C727" s="42"/>
      <c r="D727" s="9"/>
      <c r="E727" s="9"/>
      <c r="F727" s="9"/>
      <c r="G727" s="9"/>
      <c r="H727" s="9"/>
    </row>
    <row r="728">
      <c r="B728" s="42"/>
      <c r="C728" s="42"/>
      <c r="D728" s="9"/>
      <c r="E728" s="9"/>
      <c r="F728" s="9"/>
      <c r="G728" s="9"/>
      <c r="H728" s="9"/>
    </row>
    <row r="729">
      <c r="B729" s="42"/>
      <c r="C729" s="42"/>
      <c r="D729" s="9"/>
      <c r="E729" s="9"/>
      <c r="F729" s="9"/>
      <c r="G729" s="9"/>
      <c r="H729" s="9"/>
    </row>
    <row r="730">
      <c r="B730" s="42"/>
      <c r="C730" s="42"/>
      <c r="D730" s="9"/>
      <c r="E730" s="9"/>
      <c r="F730" s="9"/>
      <c r="G730" s="9"/>
      <c r="H730" s="9"/>
    </row>
    <row r="731">
      <c r="B731" s="42"/>
      <c r="C731" s="42"/>
      <c r="D731" s="9"/>
      <c r="E731" s="9"/>
      <c r="F731" s="9"/>
      <c r="G731" s="9"/>
      <c r="H731" s="9"/>
    </row>
    <row r="732">
      <c r="B732" s="42"/>
      <c r="C732" s="42"/>
      <c r="D732" s="9"/>
      <c r="E732" s="9"/>
      <c r="F732" s="9"/>
      <c r="G732" s="9"/>
      <c r="H732" s="9"/>
    </row>
    <row r="733">
      <c r="B733" s="42"/>
      <c r="C733" s="42"/>
      <c r="D733" s="9"/>
      <c r="E733" s="9"/>
      <c r="F733" s="9"/>
      <c r="G733" s="9"/>
      <c r="H733" s="9"/>
    </row>
    <row r="734">
      <c r="B734" s="42"/>
      <c r="C734" s="42"/>
      <c r="D734" s="9"/>
      <c r="E734" s="9"/>
      <c r="F734" s="9"/>
      <c r="G734" s="9"/>
      <c r="H734" s="9"/>
    </row>
    <row r="735">
      <c r="B735" s="42"/>
      <c r="C735" s="42"/>
      <c r="D735" s="9"/>
      <c r="E735" s="9"/>
      <c r="F735" s="9"/>
      <c r="G735" s="9"/>
      <c r="H735" s="9"/>
    </row>
    <row r="736">
      <c r="B736" s="42"/>
      <c r="C736" s="42"/>
      <c r="D736" s="9"/>
      <c r="E736" s="9"/>
      <c r="F736" s="9"/>
      <c r="G736" s="9"/>
      <c r="H736" s="9"/>
    </row>
    <row r="737">
      <c r="B737" s="42"/>
      <c r="C737" s="42"/>
      <c r="D737" s="9"/>
      <c r="E737" s="9"/>
      <c r="F737" s="9"/>
      <c r="G737" s="9"/>
      <c r="H737" s="9"/>
    </row>
    <row r="738">
      <c r="B738" s="42"/>
      <c r="C738" s="42"/>
      <c r="D738" s="9"/>
      <c r="E738" s="9"/>
      <c r="F738" s="9"/>
      <c r="G738" s="9"/>
      <c r="H738" s="9"/>
    </row>
    <row r="739">
      <c r="B739" s="42"/>
      <c r="C739" s="42"/>
      <c r="D739" s="9"/>
      <c r="E739" s="9"/>
      <c r="F739" s="9"/>
      <c r="G739" s="9"/>
      <c r="H739" s="9"/>
    </row>
    <row r="740">
      <c r="B740" s="42"/>
      <c r="C740" s="42"/>
      <c r="D740" s="9"/>
      <c r="E740" s="9"/>
      <c r="F740" s="9"/>
      <c r="G740" s="9"/>
      <c r="H740" s="9"/>
    </row>
    <row r="741">
      <c r="B741" s="42"/>
      <c r="C741" s="42"/>
      <c r="D741" s="9"/>
      <c r="E741" s="9"/>
      <c r="F741" s="9"/>
      <c r="G741" s="9"/>
      <c r="H741" s="9"/>
    </row>
    <row r="742">
      <c r="B742" s="42"/>
      <c r="C742" s="42"/>
      <c r="D742" s="9"/>
      <c r="E742" s="9"/>
      <c r="F742" s="9"/>
      <c r="G742" s="9"/>
      <c r="H742" s="9"/>
    </row>
    <row r="743">
      <c r="B743" s="42"/>
      <c r="C743" s="42"/>
      <c r="D743" s="9"/>
      <c r="E743" s="9"/>
      <c r="F743" s="9"/>
      <c r="G743" s="9"/>
      <c r="H743" s="9"/>
    </row>
    <row r="744">
      <c r="B744" s="42"/>
      <c r="C744" s="42"/>
      <c r="D744" s="9"/>
      <c r="E744" s="9"/>
      <c r="F744" s="9"/>
      <c r="G744" s="9"/>
      <c r="H744" s="9"/>
    </row>
    <row r="745">
      <c r="B745" s="42"/>
      <c r="C745" s="42"/>
      <c r="D745" s="9"/>
      <c r="E745" s="9"/>
      <c r="F745" s="9"/>
      <c r="G745" s="9"/>
      <c r="H745" s="9"/>
    </row>
    <row r="746">
      <c r="B746" s="42"/>
      <c r="C746" s="42"/>
      <c r="D746" s="9"/>
      <c r="E746" s="9"/>
      <c r="F746" s="9"/>
      <c r="G746" s="9"/>
      <c r="H746" s="9"/>
    </row>
    <row r="747">
      <c r="B747" s="42"/>
      <c r="C747" s="42"/>
      <c r="D747" s="9"/>
      <c r="E747" s="9"/>
      <c r="F747" s="9"/>
      <c r="G747" s="9"/>
      <c r="H747" s="9"/>
    </row>
    <row r="748">
      <c r="B748" s="42"/>
      <c r="C748" s="42"/>
      <c r="D748" s="9"/>
      <c r="E748" s="9"/>
      <c r="F748" s="9"/>
      <c r="G748" s="9"/>
      <c r="H748" s="9"/>
    </row>
    <row r="749">
      <c r="B749" s="42"/>
      <c r="C749" s="42"/>
      <c r="D749" s="9"/>
      <c r="E749" s="9"/>
      <c r="F749" s="9"/>
      <c r="G749" s="9"/>
      <c r="H749" s="9"/>
    </row>
    <row r="750">
      <c r="B750" s="42"/>
      <c r="C750" s="42"/>
      <c r="D750" s="9"/>
      <c r="E750" s="9"/>
      <c r="F750" s="9"/>
      <c r="G750" s="9"/>
      <c r="H750" s="9"/>
    </row>
    <row r="751">
      <c r="B751" s="42"/>
      <c r="C751" s="42"/>
      <c r="D751" s="9"/>
      <c r="E751" s="9"/>
      <c r="F751" s="9"/>
      <c r="G751" s="9"/>
      <c r="H751" s="9"/>
    </row>
    <row r="752">
      <c r="B752" s="42"/>
      <c r="C752" s="42"/>
      <c r="D752" s="9"/>
      <c r="E752" s="9"/>
      <c r="F752" s="9"/>
      <c r="G752" s="9"/>
      <c r="H752" s="9"/>
    </row>
    <row r="753">
      <c r="B753" s="42"/>
      <c r="C753" s="42"/>
      <c r="D753" s="9"/>
      <c r="E753" s="9"/>
      <c r="F753" s="9"/>
      <c r="G753" s="9"/>
      <c r="H753" s="9"/>
    </row>
    <row r="754">
      <c r="B754" s="42"/>
      <c r="C754" s="42"/>
      <c r="D754" s="9"/>
      <c r="E754" s="9"/>
      <c r="F754" s="9"/>
      <c r="G754" s="9"/>
      <c r="H754" s="9"/>
    </row>
    <row r="755">
      <c r="B755" s="42"/>
      <c r="C755" s="42"/>
      <c r="D755" s="9"/>
      <c r="E755" s="9"/>
      <c r="F755" s="9"/>
      <c r="G755" s="9"/>
      <c r="H755" s="9"/>
    </row>
    <row r="756">
      <c r="B756" s="42"/>
      <c r="C756" s="42"/>
      <c r="D756" s="9"/>
      <c r="E756" s="9"/>
      <c r="F756" s="9"/>
      <c r="G756" s="9"/>
      <c r="H756" s="9"/>
    </row>
    <row r="757">
      <c r="B757" s="42"/>
      <c r="C757" s="42"/>
      <c r="D757" s="9"/>
      <c r="E757" s="9"/>
      <c r="F757" s="9"/>
      <c r="G757" s="9"/>
      <c r="H757" s="9"/>
    </row>
    <row r="758">
      <c r="B758" s="42"/>
      <c r="C758" s="42"/>
      <c r="D758" s="9"/>
      <c r="E758" s="9"/>
      <c r="F758" s="9"/>
      <c r="G758" s="9"/>
      <c r="H758" s="9"/>
    </row>
    <row r="759">
      <c r="B759" s="42"/>
      <c r="C759" s="42"/>
      <c r="D759" s="9"/>
      <c r="E759" s="9"/>
      <c r="F759" s="9"/>
      <c r="G759" s="9"/>
      <c r="H759" s="9"/>
    </row>
    <row r="760">
      <c r="B760" s="42"/>
      <c r="C760" s="42"/>
      <c r="D760" s="9"/>
      <c r="E760" s="9"/>
      <c r="F760" s="9"/>
      <c r="G760" s="9"/>
      <c r="H760" s="9"/>
    </row>
    <row r="761">
      <c r="B761" s="42"/>
      <c r="C761" s="42"/>
      <c r="D761" s="9"/>
      <c r="E761" s="9"/>
      <c r="F761" s="9"/>
      <c r="G761" s="9"/>
      <c r="H761" s="9"/>
    </row>
    <row r="762">
      <c r="B762" s="42"/>
      <c r="C762" s="42"/>
      <c r="D762" s="9"/>
      <c r="E762" s="9"/>
      <c r="F762" s="9"/>
      <c r="G762" s="9"/>
      <c r="H762" s="9"/>
    </row>
    <row r="763">
      <c r="B763" s="42"/>
      <c r="C763" s="42"/>
      <c r="D763" s="9"/>
      <c r="E763" s="9"/>
      <c r="F763" s="9"/>
      <c r="G763" s="9"/>
      <c r="H763" s="9"/>
    </row>
    <row r="764">
      <c r="B764" s="42"/>
      <c r="C764" s="42"/>
      <c r="D764" s="9"/>
      <c r="E764" s="9"/>
      <c r="F764" s="9"/>
      <c r="G764" s="9"/>
      <c r="H764" s="9"/>
    </row>
    <row r="765">
      <c r="B765" s="42"/>
      <c r="C765" s="42"/>
      <c r="D765" s="9"/>
      <c r="E765" s="9"/>
      <c r="F765" s="9"/>
      <c r="G765" s="9"/>
      <c r="H765" s="9"/>
    </row>
    <row r="766">
      <c r="B766" s="42"/>
      <c r="C766" s="42"/>
      <c r="D766" s="9"/>
      <c r="E766" s="9"/>
      <c r="F766" s="9"/>
      <c r="G766" s="9"/>
      <c r="H766" s="9"/>
    </row>
    <row r="767">
      <c r="B767" s="42"/>
      <c r="C767" s="42"/>
      <c r="D767" s="9"/>
      <c r="E767" s="9"/>
      <c r="F767" s="9"/>
      <c r="G767" s="9"/>
      <c r="H767" s="9"/>
    </row>
    <row r="768">
      <c r="B768" s="42"/>
      <c r="C768" s="42"/>
      <c r="D768" s="9"/>
      <c r="E768" s="9"/>
      <c r="F768" s="9"/>
      <c r="G768" s="9"/>
      <c r="H768" s="9"/>
    </row>
    <row r="769">
      <c r="B769" s="42"/>
      <c r="C769" s="42"/>
      <c r="D769" s="9"/>
      <c r="E769" s="9"/>
      <c r="F769" s="9"/>
      <c r="G769" s="9"/>
      <c r="H769" s="9"/>
    </row>
    <row r="770">
      <c r="B770" s="42"/>
      <c r="C770" s="42"/>
      <c r="D770" s="9"/>
      <c r="E770" s="9"/>
      <c r="F770" s="9"/>
      <c r="G770" s="9"/>
      <c r="H770" s="9"/>
    </row>
    <row r="771">
      <c r="B771" s="42"/>
      <c r="C771" s="42"/>
      <c r="D771" s="9"/>
      <c r="E771" s="9"/>
      <c r="F771" s="9"/>
      <c r="G771" s="9"/>
      <c r="H771" s="9"/>
    </row>
    <row r="772">
      <c r="B772" s="42"/>
      <c r="C772" s="42"/>
      <c r="D772" s="9"/>
      <c r="E772" s="9"/>
      <c r="F772" s="9"/>
      <c r="G772" s="9"/>
      <c r="H772" s="9"/>
    </row>
    <row r="773">
      <c r="B773" s="42"/>
      <c r="C773" s="42"/>
      <c r="D773" s="9"/>
      <c r="E773" s="9"/>
      <c r="F773" s="9"/>
      <c r="G773" s="9"/>
      <c r="H773" s="9"/>
    </row>
    <row r="774">
      <c r="B774" s="42"/>
      <c r="C774" s="42"/>
      <c r="D774" s="9"/>
      <c r="E774" s="9"/>
      <c r="F774" s="9"/>
      <c r="G774" s="9"/>
      <c r="H774" s="9"/>
    </row>
    <row r="775">
      <c r="B775" s="42"/>
      <c r="C775" s="42"/>
      <c r="D775" s="9"/>
      <c r="E775" s="9"/>
      <c r="F775" s="9"/>
      <c r="G775" s="9"/>
      <c r="H775" s="9"/>
    </row>
    <row r="776">
      <c r="B776" s="42"/>
      <c r="C776" s="42"/>
      <c r="D776" s="9"/>
      <c r="E776" s="9"/>
      <c r="F776" s="9"/>
      <c r="G776" s="9"/>
      <c r="H776" s="9"/>
    </row>
    <row r="777">
      <c r="B777" s="42"/>
      <c r="C777" s="42"/>
      <c r="D777" s="9"/>
      <c r="E777" s="9"/>
      <c r="F777" s="9"/>
      <c r="G777" s="9"/>
      <c r="H777" s="9"/>
    </row>
    <row r="778">
      <c r="B778" s="42"/>
      <c r="C778" s="42"/>
      <c r="D778" s="9"/>
      <c r="E778" s="9"/>
      <c r="F778" s="9"/>
      <c r="G778" s="9"/>
      <c r="H778" s="9"/>
    </row>
    <row r="779">
      <c r="B779" s="42"/>
      <c r="C779" s="42"/>
      <c r="D779" s="9"/>
      <c r="E779" s="9"/>
      <c r="F779" s="9"/>
      <c r="G779" s="9"/>
      <c r="H779" s="9"/>
    </row>
    <row r="780">
      <c r="B780" s="42"/>
      <c r="C780" s="42"/>
      <c r="D780" s="9"/>
      <c r="E780" s="9"/>
      <c r="F780" s="9"/>
      <c r="G780" s="9"/>
      <c r="H780" s="9"/>
    </row>
    <row r="781">
      <c r="B781" s="42"/>
      <c r="C781" s="42"/>
      <c r="D781" s="9"/>
      <c r="E781" s="9"/>
      <c r="F781" s="9"/>
      <c r="G781" s="9"/>
      <c r="H781" s="9"/>
    </row>
    <row r="782">
      <c r="B782" s="42"/>
      <c r="C782" s="42"/>
      <c r="D782" s="9"/>
      <c r="E782" s="9"/>
      <c r="F782" s="9"/>
      <c r="G782" s="9"/>
      <c r="H782" s="9"/>
    </row>
    <row r="783">
      <c r="B783" s="42"/>
      <c r="C783" s="42"/>
      <c r="D783" s="9"/>
      <c r="E783" s="9"/>
      <c r="F783" s="9"/>
      <c r="G783" s="9"/>
      <c r="H783" s="9"/>
    </row>
    <row r="784">
      <c r="B784" s="42"/>
      <c r="C784" s="42"/>
      <c r="D784" s="9"/>
      <c r="E784" s="9"/>
      <c r="F784" s="9"/>
      <c r="G784" s="9"/>
      <c r="H784" s="9"/>
    </row>
    <row r="785">
      <c r="B785" s="42"/>
      <c r="C785" s="42"/>
      <c r="D785" s="9"/>
      <c r="E785" s="9"/>
      <c r="F785" s="9"/>
      <c r="G785" s="9"/>
      <c r="H785" s="9"/>
    </row>
    <row r="786">
      <c r="B786" s="42"/>
      <c r="C786" s="42"/>
      <c r="D786" s="9"/>
      <c r="E786" s="9"/>
      <c r="F786" s="9"/>
      <c r="G786" s="9"/>
      <c r="H786" s="9"/>
    </row>
    <row r="787">
      <c r="B787" s="42"/>
      <c r="C787" s="42"/>
      <c r="D787" s="9"/>
      <c r="E787" s="9"/>
      <c r="F787" s="9"/>
      <c r="G787" s="9"/>
      <c r="H787" s="9"/>
    </row>
    <row r="788">
      <c r="B788" s="42"/>
      <c r="C788" s="42"/>
      <c r="D788" s="9"/>
      <c r="E788" s="9"/>
      <c r="F788" s="9"/>
      <c r="G788" s="9"/>
      <c r="H788" s="9"/>
    </row>
    <row r="789">
      <c r="B789" s="42"/>
      <c r="C789" s="42"/>
      <c r="D789" s="9"/>
      <c r="E789" s="9"/>
      <c r="F789" s="9"/>
      <c r="G789" s="9"/>
      <c r="H789" s="9"/>
    </row>
    <row r="790">
      <c r="B790" s="42"/>
      <c r="C790" s="42"/>
      <c r="D790" s="9"/>
      <c r="E790" s="9"/>
      <c r="F790" s="9"/>
      <c r="G790" s="9"/>
      <c r="H790" s="9"/>
    </row>
    <row r="791">
      <c r="B791" s="42"/>
      <c r="C791" s="42"/>
      <c r="D791" s="9"/>
      <c r="E791" s="9"/>
      <c r="F791" s="9"/>
      <c r="G791" s="9"/>
      <c r="H791" s="9"/>
    </row>
    <row r="792">
      <c r="B792" s="42"/>
      <c r="C792" s="42"/>
      <c r="D792" s="9"/>
      <c r="E792" s="9"/>
      <c r="F792" s="9"/>
      <c r="G792" s="9"/>
      <c r="H792" s="9"/>
    </row>
    <row r="793">
      <c r="B793" s="42"/>
      <c r="C793" s="42"/>
      <c r="D793" s="9"/>
      <c r="E793" s="9"/>
      <c r="F793" s="9"/>
      <c r="G793" s="9"/>
      <c r="H793" s="9"/>
    </row>
    <row r="794">
      <c r="B794" s="42"/>
      <c r="C794" s="42"/>
      <c r="D794" s="9"/>
      <c r="E794" s="9"/>
      <c r="F794" s="9"/>
      <c r="G794" s="9"/>
      <c r="H794" s="9"/>
    </row>
    <row r="795">
      <c r="B795" s="42"/>
      <c r="C795" s="42"/>
      <c r="D795" s="9"/>
      <c r="E795" s="9"/>
      <c r="F795" s="9"/>
      <c r="G795" s="9"/>
      <c r="H795" s="9"/>
    </row>
    <row r="796">
      <c r="B796" s="42"/>
      <c r="C796" s="42"/>
      <c r="D796" s="9"/>
      <c r="E796" s="9"/>
      <c r="F796" s="9"/>
      <c r="G796" s="9"/>
      <c r="H796" s="9"/>
    </row>
    <row r="797">
      <c r="B797" s="42"/>
      <c r="C797" s="42"/>
      <c r="D797" s="9"/>
      <c r="E797" s="9"/>
      <c r="F797" s="9"/>
      <c r="G797" s="9"/>
      <c r="H797" s="9"/>
    </row>
    <row r="798">
      <c r="B798" s="42"/>
      <c r="C798" s="42"/>
      <c r="D798" s="9"/>
      <c r="E798" s="9"/>
      <c r="F798" s="9"/>
      <c r="G798" s="9"/>
      <c r="H798" s="9"/>
    </row>
    <row r="799">
      <c r="B799" s="42"/>
      <c r="C799" s="42"/>
      <c r="D799" s="9"/>
      <c r="E799" s="9"/>
      <c r="F799" s="9"/>
      <c r="G799" s="9"/>
      <c r="H799" s="9"/>
    </row>
    <row r="800">
      <c r="B800" s="42"/>
      <c r="C800" s="42"/>
      <c r="D800" s="9"/>
      <c r="E800" s="9"/>
      <c r="F800" s="9"/>
      <c r="G800" s="9"/>
      <c r="H800" s="9"/>
    </row>
    <row r="801">
      <c r="B801" s="42"/>
      <c r="C801" s="42"/>
      <c r="D801" s="9"/>
      <c r="E801" s="9"/>
      <c r="F801" s="9"/>
      <c r="G801" s="9"/>
      <c r="H801" s="9"/>
    </row>
    <row r="802">
      <c r="B802" s="42"/>
      <c r="C802" s="42"/>
      <c r="D802" s="9"/>
      <c r="E802" s="9"/>
      <c r="F802" s="9"/>
      <c r="G802" s="9"/>
      <c r="H802" s="9"/>
    </row>
    <row r="803">
      <c r="B803" s="42"/>
      <c r="C803" s="42"/>
      <c r="D803" s="9"/>
      <c r="E803" s="9"/>
      <c r="F803" s="9"/>
      <c r="G803" s="9"/>
      <c r="H803" s="9"/>
    </row>
    <row r="804">
      <c r="B804" s="42"/>
      <c r="C804" s="42"/>
      <c r="D804" s="9"/>
      <c r="E804" s="9"/>
      <c r="F804" s="9"/>
      <c r="G804" s="9"/>
      <c r="H804" s="9"/>
    </row>
    <row r="805">
      <c r="B805" s="42"/>
      <c r="C805" s="42"/>
      <c r="D805" s="9"/>
      <c r="E805" s="9"/>
      <c r="F805" s="9"/>
      <c r="G805" s="9"/>
      <c r="H805" s="9"/>
    </row>
    <row r="806">
      <c r="B806" s="42"/>
      <c r="C806" s="42"/>
      <c r="D806" s="9"/>
      <c r="E806" s="9"/>
      <c r="F806" s="9"/>
      <c r="G806" s="9"/>
      <c r="H806" s="9"/>
    </row>
    <row r="807">
      <c r="B807" s="42"/>
      <c r="C807" s="42"/>
      <c r="D807" s="9"/>
      <c r="E807" s="9"/>
      <c r="F807" s="9"/>
      <c r="G807" s="9"/>
      <c r="H807" s="9"/>
    </row>
    <row r="808">
      <c r="B808" s="42"/>
      <c r="C808" s="42"/>
      <c r="D808" s="9"/>
      <c r="E808" s="9"/>
      <c r="F808" s="9"/>
      <c r="G808" s="9"/>
      <c r="H808" s="9"/>
    </row>
    <row r="809">
      <c r="B809" s="42"/>
      <c r="C809" s="42"/>
      <c r="D809" s="9"/>
      <c r="E809" s="9"/>
      <c r="F809" s="9"/>
      <c r="G809" s="9"/>
      <c r="H809" s="9"/>
    </row>
    <row r="810">
      <c r="B810" s="42"/>
      <c r="C810" s="42"/>
      <c r="D810" s="9"/>
      <c r="E810" s="9"/>
      <c r="F810" s="9"/>
      <c r="G810" s="9"/>
      <c r="H810" s="9"/>
    </row>
    <row r="811">
      <c r="B811" s="42"/>
      <c r="C811" s="42"/>
      <c r="D811" s="9"/>
      <c r="E811" s="9"/>
      <c r="F811" s="9"/>
      <c r="G811" s="9"/>
      <c r="H811" s="9"/>
    </row>
    <row r="812">
      <c r="B812" s="42"/>
      <c r="C812" s="42"/>
      <c r="D812" s="9"/>
      <c r="E812" s="9"/>
      <c r="F812" s="9"/>
      <c r="G812" s="9"/>
      <c r="H812" s="9"/>
    </row>
    <row r="813">
      <c r="B813" s="42"/>
      <c r="C813" s="42"/>
      <c r="D813" s="9"/>
      <c r="E813" s="9"/>
      <c r="F813" s="9"/>
      <c r="G813" s="9"/>
      <c r="H813" s="9"/>
    </row>
    <row r="814">
      <c r="B814" s="42"/>
      <c r="C814" s="42"/>
      <c r="D814" s="9"/>
      <c r="E814" s="9"/>
      <c r="F814" s="9"/>
      <c r="G814" s="9"/>
      <c r="H814" s="9"/>
    </row>
    <row r="815">
      <c r="B815" s="42"/>
      <c r="C815" s="42"/>
      <c r="D815" s="9"/>
      <c r="E815" s="9"/>
      <c r="F815" s="9"/>
      <c r="G815" s="9"/>
      <c r="H815" s="9"/>
    </row>
    <row r="816">
      <c r="B816" s="42"/>
      <c r="C816" s="42"/>
      <c r="D816" s="9"/>
      <c r="E816" s="9"/>
      <c r="F816" s="9"/>
      <c r="G816" s="9"/>
      <c r="H816" s="9"/>
    </row>
    <row r="817">
      <c r="B817" s="42"/>
      <c r="C817" s="42"/>
      <c r="D817" s="9"/>
      <c r="E817" s="9"/>
      <c r="F817" s="9"/>
      <c r="G817" s="9"/>
      <c r="H817" s="9"/>
    </row>
    <row r="818">
      <c r="B818" s="42"/>
      <c r="C818" s="42"/>
      <c r="D818" s="9"/>
      <c r="E818" s="9"/>
      <c r="F818" s="9"/>
      <c r="G818" s="9"/>
      <c r="H818" s="9"/>
    </row>
    <row r="819">
      <c r="B819" s="42"/>
      <c r="C819" s="42"/>
      <c r="D819" s="9"/>
      <c r="E819" s="9"/>
      <c r="F819" s="9"/>
      <c r="G819" s="9"/>
      <c r="H819" s="9"/>
    </row>
    <row r="820">
      <c r="B820" s="42"/>
      <c r="C820" s="42"/>
      <c r="D820" s="9"/>
      <c r="E820" s="9"/>
      <c r="F820" s="9"/>
      <c r="G820" s="9"/>
      <c r="H820" s="9"/>
    </row>
    <row r="821">
      <c r="B821" s="42"/>
      <c r="C821" s="42"/>
      <c r="D821" s="9"/>
      <c r="E821" s="9"/>
      <c r="F821" s="9"/>
      <c r="G821" s="9"/>
      <c r="H821" s="9"/>
    </row>
    <row r="822">
      <c r="B822" s="42"/>
      <c r="C822" s="42"/>
      <c r="D822" s="9"/>
      <c r="E822" s="9"/>
      <c r="F822" s="9"/>
      <c r="G822" s="9"/>
      <c r="H822" s="9"/>
    </row>
    <row r="823">
      <c r="B823" s="42"/>
      <c r="C823" s="42"/>
      <c r="D823" s="9"/>
      <c r="E823" s="9"/>
      <c r="F823" s="9"/>
      <c r="G823" s="9"/>
      <c r="H823" s="9"/>
    </row>
    <row r="824">
      <c r="B824" s="42"/>
      <c r="C824" s="42"/>
      <c r="D824" s="9"/>
      <c r="E824" s="9"/>
      <c r="F824" s="9"/>
      <c r="G824" s="9"/>
      <c r="H824" s="9"/>
    </row>
    <row r="825">
      <c r="B825" s="42"/>
      <c r="C825" s="42"/>
      <c r="D825" s="9"/>
      <c r="E825" s="9"/>
      <c r="F825" s="9"/>
      <c r="G825" s="9"/>
      <c r="H825" s="9"/>
    </row>
    <row r="826">
      <c r="B826" s="42"/>
      <c r="C826" s="42"/>
      <c r="D826" s="9"/>
      <c r="E826" s="9"/>
      <c r="F826" s="9"/>
      <c r="G826" s="9"/>
      <c r="H826" s="9"/>
    </row>
    <row r="827">
      <c r="B827" s="42"/>
      <c r="C827" s="42"/>
      <c r="D827" s="9"/>
      <c r="E827" s="9"/>
      <c r="F827" s="9"/>
      <c r="G827" s="9"/>
      <c r="H827" s="9"/>
    </row>
    <row r="828">
      <c r="B828" s="42"/>
      <c r="C828" s="42"/>
      <c r="D828" s="9"/>
      <c r="E828" s="9"/>
      <c r="F828" s="9"/>
      <c r="G828" s="9"/>
      <c r="H828" s="9"/>
    </row>
    <row r="829">
      <c r="B829" s="42"/>
      <c r="C829" s="42"/>
      <c r="D829" s="9"/>
      <c r="E829" s="9"/>
      <c r="F829" s="9"/>
      <c r="G829" s="9"/>
      <c r="H829" s="9"/>
    </row>
    <row r="830">
      <c r="B830" s="42"/>
      <c r="C830" s="42"/>
      <c r="D830" s="9"/>
      <c r="E830" s="9"/>
      <c r="F830" s="9"/>
      <c r="G830" s="9"/>
      <c r="H830" s="9"/>
    </row>
    <row r="831">
      <c r="B831" s="42"/>
      <c r="C831" s="42"/>
      <c r="D831" s="9"/>
      <c r="E831" s="9"/>
      <c r="F831" s="9"/>
      <c r="G831" s="9"/>
      <c r="H831" s="9"/>
    </row>
    <row r="832">
      <c r="B832" s="42"/>
      <c r="C832" s="42"/>
      <c r="D832" s="9"/>
      <c r="E832" s="9"/>
      <c r="F832" s="9"/>
      <c r="G832" s="9"/>
      <c r="H832" s="9"/>
    </row>
    <row r="833">
      <c r="B833" s="42"/>
      <c r="C833" s="42"/>
      <c r="D833" s="9"/>
      <c r="E833" s="9"/>
      <c r="F833" s="9"/>
      <c r="G833" s="9"/>
      <c r="H833" s="9"/>
    </row>
    <row r="834">
      <c r="B834" s="42"/>
      <c r="C834" s="42"/>
      <c r="D834" s="9"/>
      <c r="E834" s="9"/>
      <c r="F834" s="9"/>
      <c r="G834" s="9"/>
      <c r="H834" s="9"/>
    </row>
    <row r="835">
      <c r="B835" s="42"/>
      <c r="C835" s="42"/>
      <c r="D835" s="9"/>
      <c r="E835" s="9"/>
      <c r="F835" s="9"/>
      <c r="G835" s="9"/>
      <c r="H835" s="9"/>
    </row>
    <row r="836">
      <c r="B836" s="42"/>
      <c r="C836" s="42"/>
      <c r="D836" s="9"/>
      <c r="E836" s="9"/>
      <c r="F836" s="9"/>
      <c r="G836" s="9"/>
      <c r="H836" s="9"/>
    </row>
    <row r="837">
      <c r="B837" s="42"/>
      <c r="C837" s="42"/>
      <c r="D837" s="9"/>
      <c r="E837" s="9"/>
      <c r="F837" s="9"/>
      <c r="G837" s="9"/>
      <c r="H837" s="9"/>
    </row>
    <row r="838">
      <c r="B838" s="42"/>
      <c r="C838" s="42"/>
      <c r="D838" s="9"/>
      <c r="E838" s="9"/>
      <c r="F838" s="9"/>
      <c r="G838" s="9"/>
      <c r="H838" s="9"/>
    </row>
    <row r="839">
      <c r="B839" s="42"/>
      <c r="C839" s="42"/>
      <c r="D839" s="9"/>
      <c r="E839" s="9"/>
      <c r="F839" s="9"/>
      <c r="G839" s="9"/>
      <c r="H839" s="9"/>
    </row>
    <row r="840">
      <c r="B840" s="42"/>
      <c r="C840" s="42"/>
      <c r="D840" s="9"/>
      <c r="E840" s="9"/>
      <c r="F840" s="9"/>
      <c r="G840" s="9"/>
      <c r="H840" s="9"/>
    </row>
    <row r="841">
      <c r="B841" s="42"/>
      <c r="C841" s="42"/>
      <c r="D841" s="9"/>
      <c r="E841" s="9"/>
      <c r="F841" s="9"/>
      <c r="G841" s="9"/>
      <c r="H841" s="9"/>
    </row>
    <row r="842">
      <c r="B842" s="42"/>
      <c r="C842" s="42"/>
      <c r="D842" s="9"/>
      <c r="E842" s="9"/>
      <c r="F842" s="9"/>
      <c r="G842" s="9"/>
      <c r="H842" s="9"/>
    </row>
    <row r="843">
      <c r="B843" s="42"/>
      <c r="C843" s="42"/>
      <c r="D843" s="9"/>
      <c r="E843" s="9"/>
      <c r="F843" s="9"/>
      <c r="G843" s="9"/>
      <c r="H843" s="9"/>
    </row>
    <row r="844">
      <c r="B844" s="42"/>
      <c r="C844" s="42"/>
      <c r="D844" s="9"/>
      <c r="E844" s="9"/>
      <c r="F844" s="9"/>
      <c r="G844" s="9"/>
      <c r="H844" s="9"/>
    </row>
    <row r="845">
      <c r="B845" s="42"/>
      <c r="C845" s="42"/>
      <c r="D845" s="9"/>
      <c r="E845" s="9"/>
      <c r="F845" s="9"/>
      <c r="G845" s="9"/>
      <c r="H845" s="9"/>
    </row>
    <row r="846">
      <c r="B846" s="42"/>
      <c r="C846" s="42"/>
      <c r="D846" s="9"/>
      <c r="E846" s="9"/>
      <c r="F846" s="9"/>
      <c r="G846" s="9"/>
      <c r="H846" s="9"/>
    </row>
    <row r="847">
      <c r="B847" s="42"/>
      <c r="C847" s="42"/>
      <c r="D847" s="9"/>
      <c r="E847" s="9"/>
      <c r="F847" s="9"/>
      <c r="G847" s="9"/>
      <c r="H847" s="9"/>
    </row>
    <row r="848">
      <c r="B848" s="42"/>
      <c r="C848" s="42"/>
      <c r="D848" s="9"/>
      <c r="E848" s="9"/>
      <c r="F848" s="9"/>
      <c r="G848" s="9"/>
      <c r="H848" s="9"/>
    </row>
    <row r="849">
      <c r="B849" s="42"/>
      <c r="C849" s="42"/>
      <c r="D849" s="9"/>
      <c r="E849" s="9"/>
      <c r="F849" s="9"/>
      <c r="G849" s="9"/>
      <c r="H849" s="9"/>
    </row>
    <row r="850">
      <c r="B850" s="42"/>
      <c r="C850" s="42"/>
      <c r="D850" s="9"/>
      <c r="E850" s="9"/>
      <c r="F850" s="9"/>
      <c r="G850" s="9"/>
      <c r="H850" s="9"/>
    </row>
    <row r="851">
      <c r="B851" s="42"/>
      <c r="C851" s="42"/>
      <c r="D851" s="9"/>
      <c r="E851" s="9"/>
      <c r="F851" s="9"/>
      <c r="G851" s="9"/>
      <c r="H851" s="9"/>
    </row>
    <row r="852">
      <c r="B852" s="42"/>
      <c r="C852" s="42"/>
      <c r="D852" s="9"/>
      <c r="E852" s="9"/>
      <c r="F852" s="9"/>
      <c r="G852" s="9"/>
      <c r="H852" s="9"/>
    </row>
    <row r="853">
      <c r="B853" s="42"/>
      <c r="C853" s="42"/>
      <c r="D853" s="9"/>
      <c r="E853" s="9"/>
      <c r="F853" s="9"/>
      <c r="G853" s="9"/>
      <c r="H853" s="9"/>
    </row>
    <row r="854">
      <c r="B854" s="42"/>
      <c r="C854" s="42"/>
      <c r="D854" s="9"/>
      <c r="E854" s="9"/>
      <c r="F854" s="9"/>
      <c r="G854" s="9"/>
      <c r="H854" s="9"/>
    </row>
    <row r="855">
      <c r="B855" s="42"/>
      <c r="C855" s="42"/>
      <c r="D855" s="9"/>
      <c r="E855" s="9"/>
      <c r="F855" s="9"/>
      <c r="G855" s="9"/>
      <c r="H855" s="9"/>
    </row>
    <row r="856">
      <c r="B856" s="42"/>
      <c r="C856" s="42"/>
      <c r="D856" s="9"/>
      <c r="E856" s="9"/>
      <c r="F856" s="9"/>
      <c r="G856" s="9"/>
      <c r="H856" s="9"/>
    </row>
    <row r="857">
      <c r="B857" s="42"/>
      <c r="C857" s="42"/>
      <c r="D857" s="9"/>
      <c r="E857" s="9"/>
      <c r="F857" s="9"/>
      <c r="G857" s="9"/>
      <c r="H857" s="9"/>
    </row>
    <row r="858">
      <c r="B858" s="42"/>
      <c r="C858" s="42"/>
      <c r="D858" s="9"/>
      <c r="E858" s="9"/>
      <c r="F858" s="9"/>
      <c r="G858" s="9"/>
      <c r="H858" s="9"/>
    </row>
    <row r="859">
      <c r="B859" s="42"/>
      <c r="C859" s="42"/>
      <c r="D859" s="9"/>
      <c r="E859" s="9"/>
      <c r="F859" s="9"/>
      <c r="G859" s="9"/>
      <c r="H859" s="9"/>
    </row>
    <row r="860">
      <c r="B860" s="42"/>
      <c r="C860" s="42"/>
      <c r="D860" s="9"/>
      <c r="E860" s="9"/>
      <c r="F860" s="9"/>
      <c r="G860" s="9"/>
      <c r="H860" s="9"/>
    </row>
    <row r="861">
      <c r="B861" s="42"/>
      <c r="C861" s="42"/>
      <c r="D861" s="9"/>
      <c r="E861" s="9"/>
      <c r="F861" s="9"/>
      <c r="G861" s="9"/>
      <c r="H861" s="9"/>
    </row>
    <row r="862">
      <c r="B862" s="42"/>
      <c r="C862" s="42"/>
      <c r="D862" s="9"/>
      <c r="E862" s="9"/>
      <c r="F862" s="9"/>
      <c r="G862" s="9"/>
      <c r="H862" s="9"/>
    </row>
    <row r="863">
      <c r="B863" s="42"/>
      <c r="C863" s="42"/>
      <c r="D863" s="9"/>
      <c r="E863" s="9"/>
      <c r="F863" s="9"/>
      <c r="G863" s="9"/>
      <c r="H863" s="9"/>
    </row>
    <row r="864">
      <c r="B864" s="42"/>
      <c r="C864" s="42"/>
      <c r="D864" s="9"/>
      <c r="E864" s="9"/>
      <c r="F864" s="9"/>
      <c r="G864" s="9"/>
      <c r="H864" s="9"/>
    </row>
    <row r="865">
      <c r="B865" s="42"/>
      <c r="C865" s="42"/>
      <c r="D865" s="9"/>
      <c r="E865" s="9"/>
      <c r="F865" s="9"/>
      <c r="G865" s="9"/>
      <c r="H865" s="9"/>
    </row>
    <row r="866">
      <c r="B866" s="42"/>
      <c r="C866" s="42"/>
      <c r="D866" s="9"/>
      <c r="E866" s="9"/>
      <c r="F866" s="9"/>
      <c r="G866" s="9"/>
      <c r="H866" s="9"/>
    </row>
    <row r="867">
      <c r="B867" s="42"/>
      <c r="C867" s="42"/>
      <c r="D867" s="9"/>
      <c r="E867" s="9"/>
      <c r="F867" s="9"/>
      <c r="G867" s="9"/>
      <c r="H867" s="9"/>
    </row>
    <row r="868">
      <c r="B868" s="42"/>
      <c r="C868" s="42"/>
      <c r="D868" s="9"/>
      <c r="E868" s="9"/>
      <c r="F868" s="9"/>
      <c r="G868" s="9"/>
      <c r="H868" s="9"/>
    </row>
    <row r="869">
      <c r="B869" s="42"/>
      <c r="C869" s="42"/>
      <c r="D869" s="9"/>
      <c r="E869" s="9"/>
      <c r="F869" s="9"/>
      <c r="G869" s="9"/>
      <c r="H869" s="9"/>
    </row>
    <row r="870">
      <c r="B870" s="42"/>
      <c r="C870" s="42"/>
      <c r="D870" s="9"/>
      <c r="E870" s="9"/>
      <c r="F870" s="9"/>
      <c r="G870" s="9"/>
      <c r="H870" s="9"/>
    </row>
    <row r="871">
      <c r="B871" s="42"/>
      <c r="C871" s="42"/>
      <c r="D871" s="9"/>
      <c r="E871" s="9"/>
      <c r="F871" s="9"/>
      <c r="G871" s="9"/>
      <c r="H871" s="9"/>
    </row>
    <row r="872">
      <c r="B872" s="42"/>
      <c r="C872" s="42"/>
      <c r="D872" s="9"/>
      <c r="E872" s="9"/>
      <c r="F872" s="9"/>
      <c r="G872" s="9"/>
      <c r="H872" s="9"/>
    </row>
    <row r="873">
      <c r="B873" s="42"/>
      <c r="C873" s="42"/>
      <c r="D873" s="9"/>
      <c r="E873" s="9"/>
      <c r="F873" s="9"/>
      <c r="G873" s="9"/>
      <c r="H873" s="9"/>
    </row>
    <row r="874">
      <c r="B874" s="42"/>
      <c r="C874" s="42"/>
      <c r="D874" s="9"/>
      <c r="E874" s="9"/>
      <c r="F874" s="9"/>
      <c r="G874" s="9"/>
      <c r="H874" s="9"/>
    </row>
    <row r="875">
      <c r="B875" s="42"/>
      <c r="C875" s="42"/>
      <c r="D875" s="9"/>
      <c r="E875" s="9"/>
      <c r="F875" s="9"/>
      <c r="G875" s="9"/>
      <c r="H875" s="9"/>
    </row>
    <row r="876">
      <c r="B876" s="42"/>
      <c r="C876" s="42"/>
      <c r="D876" s="9"/>
      <c r="E876" s="9"/>
      <c r="F876" s="9"/>
      <c r="G876" s="9"/>
      <c r="H876" s="9"/>
    </row>
    <row r="877">
      <c r="B877" s="42"/>
      <c r="C877" s="42"/>
      <c r="D877" s="9"/>
      <c r="E877" s="9"/>
      <c r="F877" s="9"/>
      <c r="G877" s="9"/>
      <c r="H877" s="9"/>
    </row>
    <row r="878">
      <c r="B878" s="42"/>
      <c r="C878" s="42"/>
      <c r="D878" s="9"/>
      <c r="E878" s="9"/>
      <c r="F878" s="9"/>
      <c r="G878" s="9"/>
      <c r="H878" s="9"/>
    </row>
    <row r="879">
      <c r="B879" s="42"/>
      <c r="C879" s="42"/>
      <c r="D879" s="9"/>
      <c r="E879" s="9"/>
      <c r="F879" s="9"/>
      <c r="G879" s="9"/>
      <c r="H879" s="9"/>
    </row>
    <row r="880">
      <c r="B880" s="42"/>
      <c r="C880" s="42"/>
      <c r="D880" s="9"/>
      <c r="E880" s="9"/>
      <c r="F880" s="9"/>
      <c r="G880" s="9"/>
      <c r="H880" s="9"/>
    </row>
    <row r="881">
      <c r="B881" s="42"/>
      <c r="C881" s="42"/>
      <c r="D881" s="9"/>
      <c r="E881" s="9"/>
      <c r="F881" s="9"/>
      <c r="G881" s="9"/>
      <c r="H881" s="9"/>
    </row>
    <row r="882">
      <c r="B882" s="42"/>
      <c r="C882" s="42"/>
      <c r="D882" s="9"/>
      <c r="E882" s="9"/>
      <c r="F882" s="9"/>
      <c r="G882" s="9"/>
      <c r="H882" s="9"/>
    </row>
    <row r="883">
      <c r="B883" s="42"/>
      <c r="C883" s="42"/>
      <c r="D883" s="9"/>
      <c r="E883" s="9"/>
      <c r="F883" s="9"/>
      <c r="G883" s="9"/>
      <c r="H883" s="9"/>
    </row>
    <row r="884">
      <c r="B884" s="42"/>
      <c r="C884" s="42"/>
      <c r="D884" s="9"/>
      <c r="E884" s="9"/>
      <c r="F884" s="9"/>
      <c r="G884" s="9"/>
      <c r="H884" s="9"/>
    </row>
    <row r="885">
      <c r="B885" s="42"/>
      <c r="C885" s="42"/>
      <c r="D885" s="9"/>
      <c r="E885" s="9"/>
      <c r="F885" s="9"/>
      <c r="G885" s="9"/>
      <c r="H885" s="9"/>
    </row>
    <row r="886">
      <c r="B886" s="42"/>
      <c r="C886" s="42"/>
      <c r="D886" s="9"/>
      <c r="E886" s="9"/>
      <c r="F886" s="9"/>
      <c r="G886" s="9"/>
      <c r="H886" s="9"/>
    </row>
    <row r="887">
      <c r="B887" s="42"/>
      <c r="C887" s="42"/>
      <c r="D887" s="9"/>
      <c r="E887" s="9"/>
      <c r="F887" s="9"/>
      <c r="G887" s="9"/>
      <c r="H887" s="9"/>
    </row>
    <row r="888">
      <c r="B888" s="42"/>
      <c r="C888" s="42"/>
      <c r="D888" s="9"/>
      <c r="E888" s="9"/>
      <c r="F888" s="9"/>
      <c r="G888" s="9"/>
      <c r="H888" s="9"/>
    </row>
    <row r="889">
      <c r="B889" s="42"/>
      <c r="C889" s="42"/>
      <c r="D889" s="9"/>
      <c r="E889" s="9"/>
      <c r="F889" s="9"/>
      <c r="G889" s="9"/>
      <c r="H889" s="9"/>
    </row>
    <row r="890">
      <c r="B890" s="42"/>
      <c r="C890" s="42"/>
      <c r="D890" s="9"/>
      <c r="E890" s="9"/>
      <c r="F890" s="9"/>
      <c r="G890" s="9"/>
      <c r="H890" s="9"/>
    </row>
    <row r="891">
      <c r="B891" s="42"/>
      <c r="C891" s="42"/>
      <c r="D891" s="9"/>
      <c r="E891" s="9"/>
      <c r="F891" s="9"/>
      <c r="G891" s="9"/>
      <c r="H891" s="9"/>
    </row>
    <row r="892">
      <c r="B892" s="42"/>
      <c r="C892" s="42"/>
      <c r="D892" s="9"/>
      <c r="E892" s="9"/>
      <c r="F892" s="9"/>
      <c r="G892" s="9"/>
      <c r="H892" s="9"/>
    </row>
    <row r="893">
      <c r="B893" s="42"/>
      <c r="C893" s="42"/>
      <c r="D893" s="9"/>
      <c r="E893" s="9"/>
      <c r="F893" s="9"/>
      <c r="G893" s="9"/>
      <c r="H893" s="9"/>
    </row>
    <row r="894">
      <c r="B894" s="42"/>
      <c r="C894" s="42"/>
      <c r="D894" s="9"/>
      <c r="E894" s="9"/>
      <c r="F894" s="9"/>
      <c r="G894" s="9"/>
      <c r="H894" s="9"/>
    </row>
    <row r="895">
      <c r="B895" s="42"/>
      <c r="C895" s="42"/>
      <c r="D895" s="9"/>
      <c r="E895" s="9"/>
      <c r="F895" s="9"/>
      <c r="G895" s="9"/>
      <c r="H895" s="9"/>
    </row>
    <row r="896">
      <c r="B896" s="42"/>
      <c r="C896" s="42"/>
      <c r="D896" s="9"/>
      <c r="E896" s="9"/>
      <c r="F896" s="9"/>
      <c r="G896" s="9"/>
      <c r="H896" s="9"/>
    </row>
    <row r="897">
      <c r="B897" s="42"/>
      <c r="C897" s="42"/>
      <c r="D897" s="9"/>
      <c r="E897" s="9"/>
      <c r="F897" s="9"/>
      <c r="G897" s="9"/>
      <c r="H897" s="9"/>
    </row>
    <row r="898">
      <c r="B898" s="42"/>
      <c r="C898" s="42"/>
      <c r="D898" s="9"/>
      <c r="E898" s="9"/>
      <c r="F898" s="9"/>
      <c r="G898" s="9"/>
      <c r="H898" s="9"/>
    </row>
    <row r="899">
      <c r="B899" s="42"/>
      <c r="C899" s="42"/>
      <c r="D899" s="9"/>
      <c r="E899" s="9"/>
      <c r="F899" s="9"/>
      <c r="G899" s="9"/>
      <c r="H899" s="9"/>
    </row>
    <row r="900">
      <c r="B900" s="42"/>
      <c r="C900" s="42"/>
      <c r="D900" s="9"/>
      <c r="E900" s="9"/>
      <c r="F900" s="9"/>
      <c r="G900" s="9"/>
      <c r="H900" s="9"/>
    </row>
    <row r="901">
      <c r="B901" s="42"/>
      <c r="C901" s="42"/>
      <c r="D901" s="9"/>
      <c r="E901" s="9"/>
      <c r="F901" s="9"/>
      <c r="G901" s="9"/>
      <c r="H901" s="9"/>
    </row>
    <row r="902">
      <c r="B902" s="42"/>
      <c r="C902" s="42"/>
      <c r="D902" s="9"/>
      <c r="E902" s="9"/>
      <c r="F902" s="9"/>
      <c r="G902" s="9"/>
      <c r="H902" s="9"/>
    </row>
    <row r="903">
      <c r="B903" s="42"/>
      <c r="C903" s="42"/>
      <c r="D903" s="9"/>
      <c r="E903" s="9"/>
      <c r="F903" s="9"/>
      <c r="G903" s="9"/>
      <c r="H903" s="9"/>
    </row>
    <row r="904">
      <c r="B904" s="42"/>
      <c r="C904" s="42"/>
      <c r="D904" s="9"/>
      <c r="E904" s="9"/>
      <c r="F904" s="9"/>
      <c r="G904" s="9"/>
      <c r="H904" s="9"/>
    </row>
    <row r="905">
      <c r="B905" s="42"/>
      <c r="C905" s="42"/>
      <c r="D905" s="9"/>
      <c r="E905" s="9"/>
      <c r="F905" s="9"/>
      <c r="G905" s="9"/>
      <c r="H905" s="9"/>
    </row>
    <row r="906">
      <c r="B906" s="42"/>
      <c r="C906" s="42"/>
      <c r="D906" s="9"/>
      <c r="E906" s="9"/>
      <c r="F906" s="9"/>
      <c r="G906" s="9"/>
      <c r="H906" s="9"/>
    </row>
    <row r="907">
      <c r="B907" s="42"/>
      <c r="C907" s="42"/>
      <c r="D907" s="9"/>
      <c r="E907" s="9"/>
      <c r="F907" s="9"/>
      <c r="G907" s="9"/>
      <c r="H907" s="9"/>
    </row>
    <row r="908">
      <c r="B908" s="42"/>
      <c r="C908" s="42"/>
      <c r="D908" s="9"/>
      <c r="E908" s="9"/>
      <c r="F908" s="9"/>
      <c r="G908" s="9"/>
      <c r="H908" s="9"/>
    </row>
    <row r="909">
      <c r="B909" s="42"/>
      <c r="C909" s="42"/>
      <c r="D909" s="9"/>
      <c r="E909" s="9"/>
      <c r="F909" s="9"/>
      <c r="G909" s="9"/>
      <c r="H909" s="9"/>
    </row>
    <row r="910">
      <c r="B910" s="42"/>
      <c r="C910" s="42"/>
      <c r="D910" s="9"/>
      <c r="E910" s="9"/>
      <c r="F910" s="9"/>
      <c r="G910" s="9"/>
      <c r="H910" s="9"/>
    </row>
    <row r="911">
      <c r="B911" s="42"/>
      <c r="C911" s="42"/>
      <c r="D911" s="9"/>
      <c r="E911" s="9"/>
      <c r="F911" s="9"/>
      <c r="G911" s="9"/>
      <c r="H911" s="9"/>
    </row>
    <row r="912">
      <c r="B912" s="42"/>
      <c r="C912" s="42"/>
      <c r="D912" s="9"/>
      <c r="E912" s="9"/>
      <c r="F912" s="9"/>
      <c r="G912" s="9"/>
      <c r="H912" s="9"/>
    </row>
    <row r="913">
      <c r="B913" s="42"/>
      <c r="C913" s="42"/>
      <c r="D913" s="9"/>
      <c r="E913" s="9"/>
      <c r="F913" s="9"/>
      <c r="G913" s="9"/>
      <c r="H913" s="9"/>
    </row>
    <row r="914">
      <c r="B914" s="42"/>
      <c r="C914" s="42"/>
      <c r="D914" s="9"/>
      <c r="E914" s="9"/>
      <c r="F914" s="9"/>
      <c r="G914" s="9"/>
      <c r="H914" s="9"/>
    </row>
    <row r="915">
      <c r="B915" s="42"/>
      <c r="C915" s="42"/>
      <c r="D915" s="9"/>
      <c r="E915" s="9"/>
      <c r="F915" s="9"/>
      <c r="G915" s="9"/>
      <c r="H915" s="9"/>
    </row>
    <row r="916">
      <c r="B916" s="42"/>
      <c r="C916" s="42"/>
      <c r="D916" s="9"/>
      <c r="E916" s="9"/>
      <c r="F916" s="9"/>
      <c r="G916" s="9"/>
      <c r="H916" s="9"/>
    </row>
    <row r="917">
      <c r="B917" s="42"/>
      <c r="C917" s="42"/>
      <c r="D917" s="9"/>
      <c r="E917" s="9"/>
      <c r="F917" s="9"/>
      <c r="G917" s="9"/>
      <c r="H917" s="9"/>
    </row>
    <row r="918">
      <c r="B918" s="42"/>
      <c r="C918" s="42"/>
      <c r="D918" s="9"/>
      <c r="E918" s="9"/>
      <c r="F918" s="9"/>
      <c r="G918" s="9"/>
      <c r="H918" s="9"/>
    </row>
    <row r="919">
      <c r="B919" s="42"/>
      <c r="C919" s="42"/>
      <c r="D919" s="9"/>
      <c r="E919" s="9"/>
      <c r="F919" s="9"/>
      <c r="G919" s="9"/>
      <c r="H919" s="9"/>
    </row>
    <row r="920">
      <c r="B920" s="42"/>
      <c r="C920" s="42"/>
      <c r="D920" s="9"/>
      <c r="E920" s="9"/>
      <c r="F920" s="9"/>
      <c r="G920" s="9"/>
      <c r="H920" s="9"/>
    </row>
    <row r="921">
      <c r="B921" s="42"/>
      <c r="C921" s="42"/>
      <c r="D921" s="9"/>
      <c r="E921" s="9"/>
      <c r="F921" s="9"/>
      <c r="G921" s="9"/>
      <c r="H921" s="9"/>
    </row>
    <row r="922">
      <c r="B922" s="42"/>
      <c r="C922" s="42"/>
      <c r="D922" s="9"/>
      <c r="E922" s="9"/>
      <c r="F922" s="9"/>
      <c r="G922" s="9"/>
      <c r="H922" s="9"/>
    </row>
    <row r="923">
      <c r="B923" s="42"/>
      <c r="C923" s="42"/>
      <c r="D923" s="9"/>
      <c r="E923" s="9"/>
      <c r="F923" s="9"/>
      <c r="G923" s="9"/>
      <c r="H923" s="9"/>
    </row>
    <row r="924">
      <c r="B924" s="42"/>
      <c r="C924" s="42"/>
      <c r="D924" s="9"/>
      <c r="E924" s="9"/>
      <c r="F924" s="9"/>
      <c r="G924" s="9"/>
      <c r="H924" s="9"/>
    </row>
    <row r="925">
      <c r="B925" s="42"/>
      <c r="C925" s="42"/>
      <c r="D925" s="9"/>
      <c r="E925" s="9"/>
      <c r="F925" s="9"/>
      <c r="G925" s="9"/>
      <c r="H925" s="9"/>
    </row>
    <row r="926">
      <c r="B926" s="42"/>
      <c r="C926" s="42"/>
      <c r="D926" s="9"/>
      <c r="E926" s="9"/>
      <c r="F926" s="9"/>
      <c r="G926" s="9"/>
      <c r="H926" s="9"/>
    </row>
    <row r="927">
      <c r="B927" s="42"/>
      <c r="C927" s="42"/>
      <c r="D927" s="9"/>
      <c r="E927" s="9"/>
      <c r="F927" s="9"/>
      <c r="G927" s="9"/>
      <c r="H927" s="9"/>
    </row>
    <row r="928">
      <c r="B928" s="42"/>
      <c r="C928" s="42"/>
      <c r="D928" s="9"/>
      <c r="E928" s="9"/>
      <c r="F928" s="9"/>
      <c r="G928" s="9"/>
      <c r="H928" s="9"/>
    </row>
    <row r="929">
      <c r="B929" s="42"/>
      <c r="C929" s="42"/>
      <c r="D929" s="9"/>
      <c r="E929" s="9"/>
      <c r="F929" s="9"/>
      <c r="G929" s="9"/>
      <c r="H929" s="9"/>
    </row>
    <row r="930">
      <c r="B930" s="42"/>
      <c r="C930" s="42"/>
      <c r="D930" s="9"/>
      <c r="E930" s="9"/>
      <c r="F930" s="9"/>
      <c r="G930" s="9"/>
      <c r="H930" s="9"/>
    </row>
    <row r="931">
      <c r="B931" s="42"/>
      <c r="C931" s="42"/>
      <c r="D931" s="9"/>
      <c r="E931" s="9"/>
      <c r="F931" s="9"/>
      <c r="G931" s="9"/>
      <c r="H931" s="9"/>
    </row>
    <row r="932">
      <c r="B932" s="42"/>
      <c r="C932" s="42"/>
      <c r="D932" s="9"/>
      <c r="E932" s="9"/>
      <c r="F932" s="9"/>
      <c r="G932" s="9"/>
      <c r="H932" s="9"/>
    </row>
    <row r="933">
      <c r="B933" s="42"/>
      <c r="C933" s="42"/>
      <c r="D933" s="9"/>
      <c r="E933" s="9"/>
      <c r="F933" s="9"/>
      <c r="G933" s="9"/>
      <c r="H933" s="9"/>
    </row>
    <row r="934">
      <c r="B934" s="42"/>
      <c r="C934" s="42"/>
      <c r="D934" s="9"/>
      <c r="E934" s="9"/>
      <c r="F934" s="9"/>
      <c r="G934" s="9"/>
      <c r="H934" s="9"/>
    </row>
    <row r="935">
      <c r="B935" s="42"/>
      <c r="C935" s="42"/>
      <c r="D935" s="9"/>
      <c r="E935" s="9"/>
      <c r="F935" s="9"/>
      <c r="G935" s="9"/>
      <c r="H935" s="9"/>
    </row>
    <row r="936">
      <c r="B936" s="42"/>
      <c r="C936" s="42"/>
      <c r="D936" s="9"/>
      <c r="E936" s="9"/>
      <c r="F936" s="9"/>
      <c r="G936" s="9"/>
      <c r="H936" s="9"/>
    </row>
    <row r="937">
      <c r="B937" s="42"/>
      <c r="C937" s="42"/>
      <c r="D937" s="9"/>
      <c r="E937" s="9"/>
      <c r="F937" s="9"/>
      <c r="G937" s="9"/>
      <c r="H937" s="9"/>
    </row>
    <row r="938">
      <c r="B938" s="42"/>
      <c r="C938" s="42"/>
      <c r="D938" s="9"/>
      <c r="E938" s="9"/>
      <c r="F938" s="9"/>
      <c r="G938" s="9"/>
      <c r="H938" s="9"/>
    </row>
    <row r="939">
      <c r="B939" s="42"/>
      <c r="C939" s="42"/>
      <c r="D939" s="9"/>
      <c r="E939" s="9"/>
      <c r="F939" s="9"/>
      <c r="G939" s="9"/>
      <c r="H939" s="9"/>
    </row>
    <row r="940">
      <c r="B940" s="42"/>
      <c r="C940" s="42"/>
      <c r="D940" s="9"/>
      <c r="E940" s="9"/>
      <c r="F940" s="9"/>
      <c r="G940" s="9"/>
      <c r="H940" s="9"/>
    </row>
    <row r="941">
      <c r="B941" s="42"/>
      <c r="C941" s="42"/>
      <c r="D941" s="9"/>
      <c r="E941" s="9"/>
      <c r="F941" s="9"/>
      <c r="G941" s="9"/>
      <c r="H941" s="9"/>
    </row>
    <row r="942">
      <c r="B942" s="42"/>
      <c r="C942" s="42"/>
      <c r="D942" s="9"/>
      <c r="E942" s="9"/>
      <c r="F942" s="9"/>
      <c r="G942" s="9"/>
      <c r="H942" s="9"/>
    </row>
    <row r="943">
      <c r="B943" s="42"/>
      <c r="C943" s="42"/>
      <c r="D943" s="9"/>
      <c r="E943" s="9"/>
      <c r="F943" s="9"/>
      <c r="G943" s="9"/>
      <c r="H943" s="9"/>
    </row>
    <row r="944">
      <c r="B944" s="42"/>
      <c r="C944" s="42"/>
      <c r="D944" s="9"/>
      <c r="E944" s="9"/>
      <c r="F944" s="9"/>
      <c r="G944" s="9"/>
      <c r="H944" s="9"/>
    </row>
    <row r="945">
      <c r="B945" s="42"/>
      <c r="C945" s="42"/>
      <c r="D945" s="9"/>
      <c r="E945" s="9"/>
      <c r="F945" s="9"/>
      <c r="G945" s="9"/>
      <c r="H945" s="9"/>
    </row>
    <row r="946">
      <c r="B946" s="42"/>
      <c r="C946" s="42"/>
      <c r="D946" s="9"/>
      <c r="E946" s="9"/>
      <c r="F946" s="9"/>
      <c r="G946" s="9"/>
      <c r="H946" s="9"/>
    </row>
    <row r="947">
      <c r="B947" s="42"/>
      <c r="C947" s="42"/>
      <c r="D947" s="9"/>
      <c r="E947" s="9"/>
      <c r="F947" s="9"/>
      <c r="G947" s="9"/>
      <c r="H947" s="9"/>
    </row>
    <row r="948">
      <c r="B948" s="42"/>
      <c r="C948" s="42"/>
      <c r="D948" s="9"/>
      <c r="E948" s="9"/>
      <c r="F948" s="9"/>
      <c r="G948" s="9"/>
      <c r="H948" s="9"/>
    </row>
    <row r="949">
      <c r="B949" s="42"/>
      <c r="C949" s="42"/>
      <c r="D949" s="9"/>
      <c r="E949" s="9"/>
      <c r="F949" s="9"/>
      <c r="G949" s="9"/>
      <c r="H949" s="9"/>
    </row>
    <row r="950">
      <c r="B950" s="42"/>
      <c r="C950" s="42"/>
      <c r="D950" s="9"/>
      <c r="E950" s="9"/>
      <c r="F950" s="9"/>
      <c r="G950" s="9"/>
      <c r="H950" s="9"/>
    </row>
    <row r="951">
      <c r="B951" s="42"/>
      <c r="C951" s="42"/>
      <c r="D951" s="9"/>
      <c r="E951" s="9"/>
      <c r="F951" s="9"/>
      <c r="G951" s="9"/>
      <c r="H951" s="9"/>
    </row>
    <row r="952">
      <c r="B952" s="42"/>
      <c r="C952" s="42"/>
      <c r="D952" s="9"/>
      <c r="E952" s="9"/>
      <c r="F952" s="9"/>
      <c r="G952" s="9"/>
      <c r="H952" s="9"/>
    </row>
    <row r="953">
      <c r="B953" s="42"/>
      <c r="C953" s="42"/>
      <c r="D953" s="9"/>
      <c r="E953" s="9"/>
      <c r="F953" s="9"/>
      <c r="G953" s="9"/>
      <c r="H953" s="9"/>
    </row>
    <row r="954">
      <c r="B954" s="42"/>
      <c r="C954" s="42"/>
      <c r="D954" s="9"/>
      <c r="E954" s="9"/>
      <c r="F954" s="9"/>
      <c r="G954" s="9"/>
      <c r="H954" s="9"/>
    </row>
    <row r="955">
      <c r="B955" s="42"/>
      <c r="C955" s="42"/>
      <c r="D955" s="9"/>
      <c r="E955" s="9"/>
      <c r="F955" s="9"/>
      <c r="G955" s="9"/>
      <c r="H955" s="9"/>
    </row>
    <row r="956">
      <c r="B956" s="42"/>
      <c r="C956" s="42"/>
      <c r="D956" s="9"/>
      <c r="E956" s="9"/>
      <c r="F956" s="9"/>
      <c r="G956" s="9"/>
      <c r="H956" s="9"/>
    </row>
    <row r="957">
      <c r="B957" s="42"/>
      <c r="C957" s="42"/>
      <c r="D957" s="9"/>
      <c r="E957" s="9"/>
      <c r="F957" s="9"/>
      <c r="G957" s="9"/>
      <c r="H957" s="9"/>
    </row>
    <row r="958">
      <c r="B958" s="42"/>
      <c r="C958" s="42"/>
      <c r="D958" s="9"/>
      <c r="E958" s="9"/>
      <c r="F958" s="9"/>
      <c r="G958" s="9"/>
      <c r="H958" s="9"/>
    </row>
    <row r="959">
      <c r="B959" s="42"/>
      <c r="C959" s="42"/>
      <c r="D959" s="9"/>
      <c r="E959" s="9"/>
      <c r="F959" s="9"/>
      <c r="G959" s="9"/>
      <c r="H959" s="9"/>
    </row>
    <row r="960">
      <c r="B960" s="42"/>
      <c r="C960" s="42"/>
      <c r="D960" s="9"/>
      <c r="E960" s="9"/>
      <c r="F960" s="9"/>
      <c r="G960" s="9"/>
      <c r="H960" s="9"/>
    </row>
    <row r="961">
      <c r="B961" s="42"/>
      <c r="C961" s="42"/>
      <c r="D961" s="9"/>
      <c r="E961" s="9"/>
      <c r="F961" s="9"/>
      <c r="G961" s="9"/>
      <c r="H961" s="9"/>
    </row>
    <row r="962">
      <c r="B962" s="42"/>
      <c r="C962" s="42"/>
      <c r="D962" s="9"/>
      <c r="E962" s="9"/>
      <c r="F962" s="9"/>
      <c r="G962" s="9"/>
      <c r="H962" s="9"/>
    </row>
    <row r="963">
      <c r="B963" s="42"/>
      <c r="C963" s="42"/>
      <c r="D963" s="9"/>
      <c r="E963" s="9"/>
      <c r="F963" s="9"/>
      <c r="G963" s="9"/>
      <c r="H963" s="9"/>
    </row>
    <row r="964">
      <c r="B964" s="42"/>
      <c r="C964" s="42"/>
      <c r="D964" s="9"/>
      <c r="E964" s="9"/>
      <c r="F964" s="9"/>
      <c r="G964" s="9"/>
      <c r="H964" s="9"/>
    </row>
    <row r="965">
      <c r="B965" s="42"/>
      <c r="C965" s="42"/>
      <c r="D965" s="9"/>
      <c r="E965" s="9"/>
      <c r="F965" s="9"/>
      <c r="G965" s="9"/>
      <c r="H965" s="9"/>
    </row>
    <row r="966">
      <c r="B966" s="42"/>
      <c r="C966" s="42"/>
      <c r="D966" s="9"/>
      <c r="E966" s="9"/>
      <c r="F966" s="9"/>
      <c r="G966" s="9"/>
      <c r="H966" s="9"/>
    </row>
    <row r="967">
      <c r="B967" s="42"/>
      <c r="C967" s="42"/>
      <c r="D967" s="9"/>
      <c r="E967" s="9"/>
      <c r="F967" s="9"/>
      <c r="G967" s="9"/>
      <c r="H967" s="9"/>
    </row>
    <row r="968">
      <c r="B968" s="42"/>
      <c r="C968" s="42"/>
      <c r="D968" s="9"/>
      <c r="E968" s="9"/>
      <c r="F968" s="9"/>
      <c r="G968" s="9"/>
      <c r="H968" s="9"/>
    </row>
    <row r="969">
      <c r="B969" s="42"/>
      <c r="C969" s="42"/>
      <c r="D969" s="9"/>
      <c r="E969" s="9"/>
      <c r="F969" s="9"/>
      <c r="G969" s="9"/>
      <c r="H969" s="9"/>
    </row>
    <row r="970">
      <c r="B970" s="42"/>
      <c r="C970" s="42"/>
      <c r="D970" s="9"/>
      <c r="E970" s="9"/>
      <c r="F970" s="9"/>
      <c r="G970" s="9"/>
      <c r="H970" s="9"/>
    </row>
    <row r="971">
      <c r="B971" s="42"/>
      <c r="C971" s="42"/>
      <c r="D971" s="9"/>
      <c r="E971" s="9"/>
      <c r="F971" s="9"/>
      <c r="G971" s="9"/>
      <c r="H971" s="9"/>
    </row>
    <row r="972">
      <c r="B972" s="42"/>
      <c r="C972" s="42"/>
      <c r="D972" s="9"/>
      <c r="E972" s="9"/>
      <c r="F972" s="9"/>
      <c r="G972" s="9"/>
      <c r="H972" s="9"/>
    </row>
    <row r="973">
      <c r="B973" s="42"/>
      <c r="C973" s="42"/>
      <c r="D973" s="9"/>
      <c r="E973" s="9"/>
      <c r="F973" s="9"/>
      <c r="G973" s="9"/>
      <c r="H973" s="9"/>
    </row>
    <row r="974">
      <c r="B974" s="42"/>
      <c r="C974" s="42"/>
      <c r="D974" s="9"/>
      <c r="E974" s="9"/>
      <c r="F974" s="9"/>
      <c r="G974" s="9"/>
      <c r="H974" s="9"/>
    </row>
    <row r="975">
      <c r="B975" s="42"/>
      <c r="C975" s="42"/>
      <c r="D975" s="9"/>
      <c r="E975" s="9"/>
      <c r="F975" s="9"/>
      <c r="G975" s="9"/>
      <c r="H975" s="9"/>
    </row>
    <row r="976">
      <c r="B976" s="42"/>
      <c r="C976" s="42"/>
      <c r="D976" s="9"/>
      <c r="E976" s="9"/>
      <c r="F976" s="9"/>
      <c r="G976" s="9"/>
      <c r="H976" s="9"/>
    </row>
    <row r="977">
      <c r="B977" s="42"/>
      <c r="C977" s="42"/>
      <c r="D977" s="9"/>
      <c r="E977" s="9"/>
      <c r="F977" s="9"/>
      <c r="G977" s="9"/>
      <c r="H977" s="9"/>
    </row>
    <row r="978">
      <c r="B978" s="42"/>
      <c r="C978" s="42"/>
      <c r="D978" s="9"/>
      <c r="E978" s="9"/>
      <c r="F978" s="9"/>
      <c r="G978" s="9"/>
      <c r="H978" s="9"/>
    </row>
    <row r="979">
      <c r="B979" s="42"/>
      <c r="C979" s="42"/>
      <c r="D979" s="9"/>
      <c r="E979" s="9"/>
      <c r="F979" s="9"/>
      <c r="G979" s="9"/>
      <c r="H979" s="9"/>
    </row>
    <row r="980">
      <c r="B980" s="42"/>
      <c r="C980" s="42"/>
      <c r="D980" s="9"/>
      <c r="E980" s="9"/>
      <c r="F980" s="9"/>
      <c r="G980" s="9"/>
      <c r="H980" s="9"/>
    </row>
    <row r="981">
      <c r="B981" s="42"/>
      <c r="C981" s="42"/>
      <c r="D981" s="9"/>
      <c r="E981" s="9"/>
      <c r="F981" s="9"/>
      <c r="G981" s="9"/>
      <c r="H981" s="9"/>
    </row>
    <row r="982">
      <c r="B982" s="42"/>
      <c r="C982" s="42"/>
      <c r="D982" s="9"/>
      <c r="E982" s="9"/>
      <c r="F982" s="9"/>
      <c r="G982" s="9"/>
      <c r="H982" s="9"/>
    </row>
    <row r="983">
      <c r="B983" s="42"/>
      <c r="C983" s="42"/>
      <c r="D983" s="9"/>
      <c r="E983" s="9"/>
      <c r="F983" s="9"/>
      <c r="G983" s="9"/>
      <c r="H983" s="9"/>
    </row>
    <row r="984">
      <c r="B984" s="42"/>
      <c r="C984" s="42"/>
      <c r="D984" s="9"/>
      <c r="E984" s="9"/>
      <c r="F984" s="9"/>
      <c r="G984" s="9"/>
      <c r="H984" s="9"/>
    </row>
    <row r="985">
      <c r="B985" s="42"/>
      <c r="C985" s="42"/>
      <c r="D985" s="9"/>
      <c r="E985" s="9"/>
      <c r="F985" s="9"/>
      <c r="G985" s="9"/>
      <c r="H985" s="9"/>
    </row>
    <row r="986">
      <c r="B986" s="42"/>
      <c r="C986" s="42"/>
      <c r="D986" s="9"/>
      <c r="E986" s="9"/>
      <c r="F986" s="9"/>
      <c r="G986" s="9"/>
      <c r="H986" s="9"/>
    </row>
    <row r="987">
      <c r="B987" s="42"/>
      <c r="C987" s="42"/>
      <c r="D987" s="9"/>
      <c r="E987" s="9"/>
      <c r="F987" s="9"/>
      <c r="G987" s="9"/>
      <c r="H987" s="9"/>
    </row>
    <row r="988">
      <c r="B988" s="42"/>
      <c r="C988" s="42"/>
      <c r="D988" s="9"/>
      <c r="E988" s="9"/>
      <c r="F988" s="9"/>
      <c r="G988" s="9"/>
      <c r="H988" s="9"/>
    </row>
    <row r="989">
      <c r="B989" s="42"/>
      <c r="C989" s="42"/>
      <c r="D989" s="9"/>
      <c r="E989" s="9"/>
      <c r="F989" s="9"/>
      <c r="G989" s="9"/>
      <c r="H989" s="9"/>
    </row>
    <row r="990">
      <c r="B990" s="42"/>
      <c r="C990" s="42"/>
      <c r="D990" s="9"/>
      <c r="E990" s="9"/>
      <c r="F990" s="9"/>
      <c r="G990" s="9"/>
      <c r="H990" s="9"/>
    </row>
    <row r="991">
      <c r="B991" s="42"/>
      <c r="C991" s="42"/>
      <c r="D991" s="9"/>
      <c r="E991" s="9"/>
      <c r="F991" s="9"/>
      <c r="G991" s="9"/>
      <c r="H991" s="9"/>
    </row>
    <row r="992">
      <c r="B992" s="42"/>
      <c r="C992" s="42"/>
      <c r="D992" s="9"/>
      <c r="E992" s="9"/>
      <c r="F992" s="9"/>
      <c r="G992" s="9"/>
      <c r="H992" s="9"/>
    </row>
    <row r="993">
      <c r="B993" s="42"/>
      <c r="C993" s="42"/>
      <c r="D993" s="9"/>
      <c r="E993" s="9"/>
      <c r="F993" s="9"/>
      <c r="G993" s="9"/>
      <c r="H993" s="9"/>
    </row>
    <row r="994">
      <c r="B994" s="42"/>
      <c r="C994" s="42"/>
      <c r="D994" s="9"/>
      <c r="E994" s="9"/>
      <c r="F994" s="9"/>
      <c r="G994" s="9"/>
      <c r="H994" s="9"/>
    </row>
    <row r="995">
      <c r="B995" s="42"/>
      <c r="C995" s="42"/>
      <c r="D995" s="9"/>
      <c r="E995" s="9"/>
      <c r="F995" s="9"/>
      <c r="G995" s="9"/>
      <c r="H995" s="9"/>
    </row>
    <row r="996">
      <c r="B996" s="42"/>
      <c r="C996" s="42"/>
      <c r="D996" s="9"/>
      <c r="E996" s="9"/>
      <c r="F996" s="9"/>
      <c r="G996" s="9"/>
      <c r="H996" s="9"/>
    </row>
    <row r="997">
      <c r="B997" s="42"/>
      <c r="C997" s="42"/>
      <c r="D997" s="9"/>
      <c r="E997" s="9"/>
      <c r="F997" s="9"/>
      <c r="G997" s="9"/>
      <c r="H997" s="9"/>
    </row>
    <row r="998">
      <c r="B998" s="42"/>
      <c r="C998" s="42"/>
      <c r="D998" s="9"/>
      <c r="E998" s="9"/>
      <c r="F998" s="9"/>
      <c r="G998" s="9"/>
      <c r="H998" s="9"/>
    </row>
    <row r="999">
      <c r="B999" s="42"/>
      <c r="C999" s="42"/>
      <c r="D999" s="9"/>
      <c r="E999" s="9"/>
      <c r="F999" s="9"/>
      <c r="G999" s="9"/>
      <c r="H999" s="9"/>
    </row>
    <row r="1000">
      <c r="B1000" s="42"/>
      <c r="C1000" s="42"/>
      <c r="D1000" s="9"/>
      <c r="E1000" s="9"/>
      <c r="F1000" s="9"/>
      <c r="G1000" s="9"/>
      <c r="H1000" s="9"/>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v>
      </c>
      <c r="B1" s="56" t="s">
        <v>49</v>
      </c>
      <c r="C1" s="7" t="s">
        <v>50</v>
      </c>
    </row>
    <row r="2">
      <c r="A2" s="14">
        <v>84648.0</v>
      </c>
      <c r="B2" s="57">
        <f>AVERAGE(A6:A18)</f>
        <v>98566.23077</v>
      </c>
      <c r="C2" s="9">
        <f>A18-A2</f>
        <v>18724</v>
      </c>
    </row>
    <row r="3">
      <c r="A3" s="14">
        <v>84648.0</v>
      </c>
      <c r="B3" s="57"/>
    </row>
    <row r="4">
      <c r="A4" s="14">
        <v>85091.0</v>
      </c>
      <c r="B4" s="57"/>
    </row>
    <row r="5">
      <c r="A5" s="14">
        <v>84648.0</v>
      </c>
      <c r="B5" s="57"/>
    </row>
    <row r="6">
      <c r="A6" s="21">
        <v>91466.0</v>
      </c>
      <c r="B6" s="57"/>
    </row>
    <row r="7">
      <c r="A7" s="21">
        <v>92949.0</v>
      </c>
      <c r="B7" s="57"/>
    </row>
    <row r="8">
      <c r="A8" s="14">
        <v>92094.0</v>
      </c>
      <c r="B8" s="57"/>
    </row>
    <row r="9">
      <c r="A9" s="23">
        <v>94177.0</v>
      </c>
      <c r="B9" s="57"/>
    </row>
    <row r="10">
      <c r="A10" s="23">
        <v>95549.0</v>
      </c>
      <c r="B10" s="57"/>
    </row>
    <row r="11">
      <c r="A11" s="23">
        <v>94398.0</v>
      </c>
      <c r="B11" s="57"/>
    </row>
    <row r="12">
      <c r="A12" s="23">
        <v>99697.0</v>
      </c>
      <c r="C12" s="15" t="s">
        <v>51</v>
      </c>
    </row>
    <row r="13">
      <c r="A13" s="23">
        <v>101663.0</v>
      </c>
      <c r="C13" s="15" t="s">
        <v>52</v>
      </c>
    </row>
    <row r="14">
      <c r="A14" s="23">
        <v>102997.0</v>
      </c>
    </row>
    <row r="15">
      <c r="A15" s="23">
        <v>105997.0</v>
      </c>
      <c r="C15" s="15" t="s">
        <v>53</v>
      </c>
    </row>
    <row r="16">
      <c r="A16" s="23">
        <v>104720.0</v>
      </c>
      <c r="C16" s="15" t="s">
        <v>54</v>
      </c>
    </row>
    <row r="17">
      <c r="A17" s="23">
        <v>102282.0</v>
      </c>
    </row>
    <row r="18">
      <c r="A18" s="23">
        <v>103372.0</v>
      </c>
    </row>
    <row r="19">
      <c r="A19" s="42"/>
      <c r="B19" s="57"/>
    </row>
    <row r="20">
      <c r="A20" s="42"/>
      <c r="B20" s="57"/>
    </row>
    <row r="21">
      <c r="A21" s="42"/>
      <c r="B21" s="57"/>
    </row>
    <row r="22">
      <c r="A22" s="42"/>
      <c r="B22" s="57"/>
    </row>
    <row r="23">
      <c r="A23" s="42"/>
      <c r="B23" s="57"/>
    </row>
    <row r="24">
      <c r="A24" s="42"/>
      <c r="B24" s="57"/>
    </row>
    <row r="25">
      <c r="A25" s="42"/>
      <c r="B25" s="57"/>
    </row>
    <row r="26">
      <c r="A26" s="42"/>
      <c r="B26" s="57"/>
    </row>
    <row r="27">
      <c r="A27" s="42"/>
      <c r="B27" s="57"/>
    </row>
    <row r="28">
      <c r="A28" s="42"/>
      <c r="B28" s="57"/>
    </row>
    <row r="29">
      <c r="A29" s="42"/>
      <c r="B29" s="57"/>
    </row>
    <row r="30">
      <c r="A30" s="42"/>
      <c r="B30" s="57"/>
    </row>
    <row r="31">
      <c r="A31" s="42"/>
      <c r="B31" s="57"/>
    </row>
    <row r="32">
      <c r="A32" s="42"/>
      <c r="B32" s="57"/>
    </row>
    <row r="33">
      <c r="A33" s="42"/>
      <c r="B33" s="57"/>
    </row>
    <row r="34">
      <c r="A34" s="42"/>
      <c r="B34" s="57"/>
    </row>
    <row r="35">
      <c r="A35" s="42"/>
      <c r="B35" s="57"/>
    </row>
    <row r="36">
      <c r="A36" s="42"/>
      <c r="B36" s="57"/>
    </row>
    <row r="37">
      <c r="A37" s="42"/>
      <c r="B37" s="57"/>
    </row>
    <row r="38">
      <c r="A38" s="42"/>
      <c r="B38" s="57"/>
    </row>
    <row r="39">
      <c r="A39" s="42"/>
      <c r="B39" s="57"/>
    </row>
    <row r="40">
      <c r="A40" s="42"/>
      <c r="B40" s="57"/>
    </row>
    <row r="41">
      <c r="A41" s="42"/>
      <c r="B41" s="57"/>
    </row>
    <row r="42">
      <c r="A42" s="42"/>
      <c r="B42" s="57"/>
    </row>
    <row r="43">
      <c r="A43" s="42"/>
      <c r="B43" s="57"/>
    </row>
    <row r="44">
      <c r="A44" s="42"/>
      <c r="B44" s="57"/>
    </row>
    <row r="45">
      <c r="A45" s="42"/>
      <c r="B45" s="57"/>
    </row>
    <row r="46">
      <c r="A46" s="42"/>
      <c r="B46" s="57"/>
    </row>
    <row r="47">
      <c r="A47" s="42"/>
      <c r="B47" s="57"/>
    </row>
    <row r="48">
      <c r="A48" s="42"/>
      <c r="B48" s="57"/>
    </row>
    <row r="49">
      <c r="A49" s="42"/>
      <c r="B49" s="57"/>
    </row>
    <row r="50">
      <c r="A50" s="42"/>
      <c r="B50" s="57"/>
    </row>
    <row r="51">
      <c r="A51" s="42"/>
      <c r="B51" s="57"/>
    </row>
    <row r="52">
      <c r="A52" s="42"/>
      <c r="B52" s="57"/>
    </row>
    <row r="53">
      <c r="A53" s="42"/>
      <c r="B53" s="57"/>
    </row>
    <row r="54">
      <c r="A54" s="42"/>
      <c r="B54" s="57"/>
    </row>
    <row r="55">
      <c r="A55" s="42"/>
      <c r="B55" s="57"/>
    </row>
    <row r="56">
      <c r="A56" s="42"/>
      <c r="B56" s="57"/>
    </row>
    <row r="57">
      <c r="A57" s="42"/>
      <c r="B57" s="57"/>
    </row>
    <row r="58">
      <c r="A58" s="42"/>
      <c r="B58" s="57"/>
    </row>
    <row r="59">
      <c r="A59" s="42"/>
      <c r="B59" s="57"/>
    </row>
    <row r="60">
      <c r="A60" s="42"/>
      <c r="B60" s="57"/>
    </row>
    <row r="61">
      <c r="A61" s="42"/>
      <c r="B61" s="57"/>
    </row>
    <row r="62">
      <c r="A62" s="42"/>
      <c r="B62" s="57"/>
    </row>
    <row r="63">
      <c r="A63" s="42"/>
      <c r="B63" s="57"/>
    </row>
    <row r="64">
      <c r="A64" s="42"/>
      <c r="B64" s="57"/>
    </row>
    <row r="65">
      <c r="A65" s="42"/>
      <c r="B65" s="57"/>
    </row>
    <row r="66">
      <c r="A66" s="42"/>
      <c r="B66" s="57"/>
    </row>
    <row r="67">
      <c r="A67" s="42"/>
      <c r="B67" s="57"/>
    </row>
    <row r="68">
      <c r="A68" s="42"/>
      <c r="B68" s="57"/>
    </row>
    <row r="69">
      <c r="A69" s="42"/>
      <c r="B69" s="57"/>
    </row>
    <row r="70">
      <c r="A70" s="42"/>
      <c r="B70" s="57"/>
    </row>
    <row r="71">
      <c r="A71" s="42"/>
      <c r="B71" s="57"/>
    </row>
    <row r="72">
      <c r="A72" s="42"/>
      <c r="B72" s="57"/>
    </row>
    <row r="73">
      <c r="A73" s="42"/>
      <c r="B73" s="57"/>
    </row>
    <row r="74">
      <c r="A74" s="42"/>
      <c r="B74" s="57"/>
    </row>
    <row r="75">
      <c r="A75" s="42"/>
      <c r="B75" s="57"/>
    </row>
    <row r="76">
      <c r="A76" s="42"/>
      <c r="B76" s="57"/>
    </row>
    <row r="77">
      <c r="A77" s="42"/>
      <c r="B77" s="57"/>
    </row>
    <row r="78">
      <c r="A78" s="42"/>
      <c r="B78" s="57"/>
    </row>
    <row r="79">
      <c r="A79" s="42"/>
      <c r="B79" s="57"/>
    </row>
    <row r="80">
      <c r="A80" s="42"/>
      <c r="B80" s="57"/>
    </row>
    <row r="81">
      <c r="A81" s="42"/>
      <c r="B81" s="57"/>
    </row>
    <row r="82">
      <c r="A82" s="42"/>
      <c r="B82" s="57"/>
    </row>
    <row r="83">
      <c r="A83" s="42"/>
      <c r="B83" s="57"/>
    </row>
    <row r="84">
      <c r="A84" s="42"/>
      <c r="B84" s="57"/>
    </row>
    <row r="85">
      <c r="A85" s="42"/>
      <c r="B85" s="57"/>
    </row>
    <row r="86">
      <c r="A86" s="42"/>
      <c r="B86" s="57"/>
    </row>
    <row r="87">
      <c r="A87" s="42"/>
      <c r="B87" s="57"/>
    </row>
    <row r="88">
      <c r="A88" s="42"/>
      <c r="B88" s="57"/>
    </row>
    <row r="89">
      <c r="A89" s="42"/>
      <c r="B89" s="57"/>
    </row>
    <row r="90">
      <c r="A90" s="42"/>
      <c r="B90" s="57"/>
    </row>
    <row r="91">
      <c r="A91" s="42"/>
      <c r="B91" s="57"/>
    </row>
    <row r="92">
      <c r="A92" s="42"/>
      <c r="B92" s="57"/>
    </row>
    <row r="93">
      <c r="A93" s="42"/>
      <c r="B93" s="57"/>
    </row>
    <row r="94">
      <c r="A94" s="42"/>
      <c r="B94" s="57"/>
    </row>
    <row r="95">
      <c r="A95" s="42"/>
      <c r="B95" s="57"/>
    </row>
    <row r="96">
      <c r="A96" s="42"/>
      <c r="B96" s="57"/>
    </row>
    <row r="97">
      <c r="A97" s="42"/>
      <c r="B97" s="57"/>
    </row>
    <row r="98">
      <c r="A98" s="42"/>
      <c r="B98" s="57"/>
    </row>
    <row r="99">
      <c r="A99" s="42"/>
      <c r="B99" s="57"/>
    </row>
    <row r="100">
      <c r="A100" s="42"/>
      <c r="B100" s="57"/>
    </row>
    <row r="101">
      <c r="A101" s="42"/>
      <c r="B101" s="57"/>
    </row>
    <row r="102">
      <c r="A102" s="42"/>
      <c r="B102" s="57"/>
    </row>
    <row r="103">
      <c r="A103" s="42"/>
      <c r="B103" s="57"/>
    </row>
    <row r="104">
      <c r="A104" s="42"/>
      <c r="B104" s="57"/>
    </row>
    <row r="105">
      <c r="A105" s="42"/>
      <c r="B105" s="57"/>
    </row>
    <row r="106">
      <c r="A106" s="42"/>
      <c r="B106" s="57"/>
    </row>
    <row r="107">
      <c r="A107" s="42"/>
      <c r="B107" s="57"/>
    </row>
    <row r="108">
      <c r="A108" s="42"/>
      <c r="B108" s="57"/>
    </row>
    <row r="109">
      <c r="A109" s="42"/>
      <c r="B109" s="57"/>
    </row>
    <row r="110">
      <c r="A110" s="42"/>
      <c r="B110" s="57"/>
    </row>
    <row r="111">
      <c r="A111" s="42"/>
      <c r="B111" s="57"/>
    </row>
    <row r="112">
      <c r="A112" s="42"/>
      <c r="B112" s="57"/>
    </row>
    <row r="113">
      <c r="A113" s="42"/>
      <c r="B113" s="57"/>
    </row>
    <row r="114">
      <c r="A114" s="42"/>
      <c r="B114" s="57"/>
    </row>
    <row r="115">
      <c r="A115" s="42"/>
      <c r="B115" s="57"/>
    </row>
    <row r="116">
      <c r="A116" s="42"/>
      <c r="B116" s="57"/>
    </row>
    <row r="117">
      <c r="A117" s="42"/>
      <c r="B117" s="57"/>
    </row>
    <row r="118">
      <c r="A118" s="42"/>
      <c r="B118" s="57"/>
    </row>
    <row r="119">
      <c r="A119" s="42"/>
      <c r="B119" s="57"/>
    </row>
    <row r="120">
      <c r="A120" s="42"/>
      <c r="B120" s="57"/>
    </row>
    <row r="121">
      <c r="A121" s="42"/>
      <c r="B121" s="57"/>
    </row>
    <row r="122">
      <c r="A122" s="42"/>
      <c r="B122" s="57"/>
    </row>
    <row r="123">
      <c r="A123" s="42"/>
      <c r="B123" s="57"/>
    </row>
    <row r="124">
      <c r="A124" s="42"/>
      <c r="B124" s="57"/>
    </row>
    <row r="125">
      <c r="A125" s="42"/>
      <c r="B125" s="57"/>
    </row>
    <row r="126">
      <c r="A126" s="42"/>
      <c r="B126" s="57"/>
    </row>
    <row r="127">
      <c r="A127" s="42"/>
      <c r="B127" s="57"/>
    </row>
    <row r="128">
      <c r="A128" s="42"/>
      <c r="B128" s="57"/>
    </row>
    <row r="129">
      <c r="A129" s="42"/>
      <c r="B129" s="57"/>
    </row>
    <row r="130">
      <c r="A130" s="42"/>
      <c r="B130" s="57"/>
    </row>
    <row r="131">
      <c r="A131" s="42"/>
      <c r="B131" s="57"/>
    </row>
    <row r="132">
      <c r="A132" s="42"/>
      <c r="B132" s="57"/>
    </row>
    <row r="133">
      <c r="A133" s="42"/>
      <c r="B133" s="57"/>
    </row>
    <row r="134">
      <c r="A134" s="42"/>
      <c r="B134" s="57"/>
    </row>
    <row r="135">
      <c r="A135" s="42"/>
      <c r="B135" s="57"/>
    </row>
    <row r="136">
      <c r="A136" s="42"/>
      <c r="B136" s="57"/>
    </row>
    <row r="137">
      <c r="A137" s="42"/>
      <c r="B137" s="57"/>
    </row>
    <row r="138">
      <c r="A138" s="42"/>
      <c r="B138" s="57"/>
    </row>
    <row r="139">
      <c r="A139" s="42"/>
      <c r="B139" s="57"/>
    </row>
    <row r="140">
      <c r="A140" s="42"/>
      <c r="B140" s="57"/>
    </row>
    <row r="141">
      <c r="A141" s="42"/>
      <c r="B141" s="57"/>
    </row>
    <row r="142">
      <c r="A142" s="42"/>
      <c r="B142" s="57"/>
    </row>
    <row r="143">
      <c r="A143" s="42"/>
      <c r="B143" s="57"/>
    </row>
    <row r="144">
      <c r="A144" s="42"/>
      <c r="B144" s="57"/>
    </row>
    <row r="145">
      <c r="A145" s="42"/>
      <c r="B145" s="57"/>
    </row>
    <row r="146">
      <c r="A146" s="42"/>
      <c r="B146" s="57"/>
    </row>
    <row r="147">
      <c r="A147" s="42"/>
      <c r="B147" s="57"/>
    </row>
    <row r="148">
      <c r="A148" s="42"/>
      <c r="B148" s="57"/>
    </row>
    <row r="149">
      <c r="A149" s="42"/>
      <c r="B149" s="57"/>
    </row>
    <row r="150">
      <c r="A150" s="42"/>
      <c r="B150" s="57"/>
    </row>
    <row r="151">
      <c r="A151" s="42"/>
      <c r="B151" s="57"/>
    </row>
    <row r="152">
      <c r="A152" s="42"/>
      <c r="B152" s="57"/>
    </row>
    <row r="153">
      <c r="A153" s="42"/>
      <c r="B153" s="57"/>
    </row>
    <row r="154">
      <c r="A154" s="42"/>
      <c r="B154" s="57"/>
    </row>
    <row r="155">
      <c r="A155" s="42"/>
      <c r="B155" s="57"/>
    </row>
    <row r="156">
      <c r="A156" s="42"/>
      <c r="B156" s="57"/>
    </row>
    <row r="157">
      <c r="A157" s="42"/>
      <c r="B157" s="57"/>
    </row>
    <row r="158">
      <c r="A158" s="42"/>
      <c r="B158" s="57"/>
    </row>
    <row r="159">
      <c r="A159" s="42"/>
      <c r="B159" s="57"/>
    </row>
    <row r="160">
      <c r="A160" s="42"/>
      <c r="B160" s="57"/>
    </row>
    <row r="161">
      <c r="A161" s="42"/>
      <c r="B161" s="57"/>
    </row>
    <row r="162">
      <c r="A162" s="42"/>
      <c r="B162" s="57"/>
    </row>
    <row r="163">
      <c r="A163" s="42"/>
      <c r="B163" s="57"/>
    </row>
    <row r="164">
      <c r="A164" s="42"/>
      <c r="B164" s="57"/>
    </row>
    <row r="165">
      <c r="A165" s="42"/>
      <c r="B165" s="57"/>
    </row>
    <row r="166">
      <c r="A166" s="42"/>
      <c r="B166" s="57"/>
    </row>
    <row r="167">
      <c r="A167" s="42"/>
      <c r="B167" s="57"/>
    </row>
    <row r="168">
      <c r="A168" s="42"/>
      <c r="B168" s="57"/>
    </row>
    <row r="169">
      <c r="A169" s="42"/>
      <c r="B169" s="57"/>
    </row>
    <row r="170">
      <c r="A170" s="42"/>
      <c r="B170" s="57"/>
    </row>
    <row r="171">
      <c r="A171" s="42"/>
      <c r="B171" s="57"/>
    </row>
    <row r="172">
      <c r="A172" s="42"/>
      <c r="B172" s="57"/>
    </row>
    <row r="173">
      <c r="A173" s="42"/>
      <c r="B173" s="57"/>
    </row>
    <row r="174">
      <c r="A174" s="42"/>
      <c r="B174" s="57"/>
    </row>
    <row r="175">
      <c r="A175" s="42"/>
      <c r="B175" s="57"/>
    </row>
    <row r="176">
      <c r="A176" s="42"/>
      <c r="B176" s="57"/>
    </row>
    <row r="177">
      <c r="A177" s="42"/>
      <c r="B177" s="57"/>
    </row>
    <row r="178">
      <c r="A178" s="42"/>
      <c r="B178" s="57"/>
    </row>
    <row r="179">
      <c r="A179" s="42"/>
      <c r="B179" s="57"/>
    </row>
    <row r="180">
      <c r="A180" s="42"/>
      <c r="B180" s="57"/>
    </row>
    <row r="181">
      <c r="A181" s="42"/>
      <c r="B181" s="57"/>
    </row>
    <row r="182">
      <c r="A182" s="42"/>
      <c r="B182" s="57"/>
    </row>
    <row r="183">
      <c r="A183" s="42"/>
      <c r="B183" s="57"/>
    </row>
    <row r="184">
      <c r="A184" s="42"/>
      <c r="B184" s="57"/>
    </row>
    <row r="185">
      <c r="A185" s="42"/>
      <c r="B185" s="57"/>
    </row>
    <row r="186">
      <c r="A186" s="42"/>
      <c r="B186" s="57"/>
    </row>
    <row r="187">
      <c r="A187" s="42"/>
      <c r="B187" s="57"/>
    </row>
    <row r="188">
      <c r="A188" s="42"/>
      <c r="B188" s="57"/>
    </row>
    <row r="189">
      <c r="A189" s="42"/>
      <c r="B189" s="57"/>
    </row>
    <row r="190">
      <c r="A190" s="42"/>
      <c r="B190" s="57"/>
    </row>
    <row r="191">
      <c r="A191" s="42"/>
      <c r="B191" s="57"/>
    </row>
    <row r="192">
      <c r="A192" s="42"/>
      <c r="B192" s="57"/>
    </row>
    <row r="193">
      <c r="A193" s="42"/>
      <c r="B193" s="57"/>
    </row>
    <row r="194">
      <c r="A194" s="42"/>
      <c r="B194" s="57"/>
    </row>
    <row r="195">
      <c r="A195" s="42"/>
      <c r="B195" s="57"/>
    </row>
    <row r="196">
      <c r="A196" s="42"/>
      <c r="B196" s="57"/>
    </row>
    <row r="197">
      <c r="A197" s="42"/>
      <c r="B197" s="57"/>
    </row>
    <row r="198">
      <c r="A198" s="42"/>
      <c r="B198" s="57"/>
    </row>
    <row r="199">
      <c r="A199" s="42"/>
      <c r="B199" s="57"/>
    </row>
    <row r="200">
      <c r="A200" s="42"/>
      <c r="B200" s="57"/>
    </row>
    <row r="201">
      <c r="A201" s="42"/>
      <c r="B201" s="57"/>
    </row>
    <row r="202">
      <c r="A202" s="42"/>
      <c r="B202" s="57"/>
    </row>
    <row r="203">
      <c r="A203" s="42"/>
      <c r="B203" s="57"/>
    </row>
    <row r="204">
      <c r="A204" s="42"/>
      <c r="B204" s="57"/>
    </row>
    <row r="205">
      <c r="A205" s="42"/>
      <c r="B205" s="57"/>
    </row>
    <row r="206">
      <c r="A206" s="42"/>
      <c r="B206" s="57"/>
    </row>
    <row r="207">
      <c r="A207" s="42"/>
      <c r="B207" s="57"/>
    </row>
    <row r="208">
      <c r="A208" s="42"/>
      <c r="B208" s="57"/>
    </row>
    <row r="209">
      <c r="A209" s="42"/>
      <c r="B209" s="57"/>
    </row>
    <row r="210">
      <c r="A210" s="42"/>
      <c r="B210" s="57"/>
    </row>
    <row r="211">
      <c r="A211" s="42"/>
      <c r="B211" s="57"/>
    </row>
    <row r="212">
      <c r="A212" s="42"/>
      <c r="B212" s="57"/>
    </row>
    <row r="213">
      <c r="A213" s="42"/>
      <c r="B213" s="57"/>
    </row>
    <row r="214">
      <c r="A214" s="42"/>
      <c r="B214" s="57"/>
    </row>
    <row r="215">
      <c r="A215" s="42"/>
      <c r="B215" s="57"/>
    </row>
    <row r="216">
      <c r="A216" s="42"/>
      <c r="B216" s="57"/>
    </row>
    <row r="217">
      <c r="A217" s="42"/>
      <c r="B217" s="57"/>
    </row>
    <row r="218">
      <c r="A218" s="42"/>
      <c r="B218" s="57"/>
    </row>
    <row r="219">
      <c r="A219" s="42"/>
      <c r="B219" s="57"/>
    </row>
    <row r="220">
      <c r="A220" s="42"/>
      <c r="B220" s="57"/>
    </row>
    <row r="221">
      <c r="A221" s="42"/>
      <c r="B221" s="57"/>
    </row>
    <row r="222">
      <c r="A222" s="42"/>
      <c r="B222" s="57"/>
    </row>
    <row r="223">
      <c r="A223" s="42"/>
      <c r="B223" s="57"/>
    </row>
    <row r="224">
      <c r="A224" s="42"/>
      <c r="B224" s="57"/>
    </row>
    <row r="225">
      <c r="A225" s="42"/>
      <c r="B225" s="57"/>
    </row>
    <row r="226">
      <c r="A226" s="42"/>
      <c r="B226" s="57"/>
    </row>
    <row r="227">
      <c r="A227" s="42"/>
      <c r="B227" s="57"/>
    </row>
    <row r="228">
      <c r="A228" s="42"/>
      <c r="B228" s="57"/>
    </row>
    <row r="229">
      <c r="A229" s="42"/>
      <c r="B229" s="57"/>
    </row>
    <row r="230">
      <c r="A230" s="42"/>
      <c r="B230" s="57"/>
    </row>
    <row r="231">
      <c r="A231" s="42"/>
      <c r="B231" s="57"/>
    </row>
    <row r="232">
      <c r="A232" s="42"/>
      <c r="B232" s="57"/>
    </row>
    <row r="233">
      <c r="A233" s="42"/>
      <c r="B233" s="57"/>
    </row>
    <row r="234">
      <c r="A234" s="42"/>
      <c r="B234" s="57"/>
    </row>
    <row r="235">
      <c r="A235" s="42"/>
      <c r="B235" s="57"/>
    </row>
    <row r="236">
      <c r="A236" s="42"/>
      <c r="B236" s="57"/>
    </row>
    <row r="237">
      <c r="A237" s="42"/>
      <c r="B237" s="57"/>
    </row>
    <row r="238">
      <c r="A238" s="42"/>
      <c r="B238" s="57"/>
    </row>
    <row r="239">
      <c r="A239" s="42"/>
      <c r="B239" s="57"/>
    </row>
    <row r="240">
      <c r="A240" s="42"/>
      <c r="B240" s="57"/>
    </row>
    <row r="241">
      <c r="A241" s="42"/>
      <c r="B241" s="57"/>
    </row>
    <row r="242">
      <c r="A242" s="42"/>
      <c r="B242" s="57"/>
    </row>
    <row r="243">
      <c r="A243" s="42"/>
      <c r="B243" s="57"/>
    </row>
    <row r="244">
      <c r="A244" s="42"/>
      <c r="B244" s="57"/>
    </row>
    <row r="245">
      <c r="A245" s="42"/>
      <c r="B245" s="57"/>
    </row>
    <row r="246">
      <c r="A246" s="42"/>
      <c r="B246" s="57"/>
    </row>
    <row r="247">
      <c r="A247" s="42"/>
      <c r="B247" s="57"/>
    </row>
    <row r="248">
      <c r="A248" s="42"/>
      <c r="B248" s="57"/>
    </row>
    <row r="249">
      <c r="A249" s="42"/>
      <c r="B249" s="57"/>
    </row>
    <row r="250">
      <c r="A250" s="42"/>
      <c r="B250" s="57"/>
    </row>
    <row r="251">
      <c r="A251" s="42"/>
      <c r="B251" s="57"/>
    </row>
    <row r="252">
      <c r="A252" s="42"/>
      <c r="B252" s="57"/>
    </row>
    <row r="253">
      <c r="A253" s="42"/>
      <c r="B253" s="57"/>
    </row>
    <row r="254">
      <c r="A254" s="42"/>
      <c r="B254" s="57"/>
    </row>
    <row r="255">
      <c r="A255" s="42"/>
      <c r="B255" s="57"/>
    </row>
    <row r="256">
      <c r="A256" s="42"/>
      <c r="B256" s="57"/>
    </row>
    <row r="257">
      <c r="A257" s="42"/>
      <c r="B257" s="57"/>
    </row>
    <row r="258">
      <c r="A258" s="42"/>
      <c r="B258" s="57"/>
    </row>
    <row r="259">
      <c r="A259" s="42"/>
      <c r="B259" s="57"/>
    </row>
    <row r="260">
      <c r="A260" s="42"/>
      <c r="B260" s="57"/>
    </row>
    <row r="261">
      <c r="A261" s="42"/>
      <c r="B261" s="57"/>
    </row>
    <row r="262">
      <c r="A262" s="42"/>
      <c r="B262" s="57"/>
    </row>
    <row r="263">
      <c r="A263" s="42"/>
      <c r="B263" s="57"/>
    </row>
    <row r="264">
      <c r="A264" s="42"/>
      <c r="B264" s="57"/>
    </row>
    <row r="265">
      <c r="A265" s="42"/>
      <c r="B265" s="57"/>
    </row>
    <row r="266">
      <c r="A266" s="42"/>
      <c r="B266" s="57"/>
    </row>
    <row r="267">
      <c r="A267" s="42"/>
      <c r="B267" s="57"/>
    </row>
    <row r="268">
      <c r="A268" s="42"/>
      <c r="B268" s="57"/>
    </row>
    <row r="269">
      <c r="A269" s="42"/>
      <c r="B269" s="57"/>
    </row>
    <row r="270">
      <c r="A270" s="42"/>
      <c r="B270" s="57"/>
    </row>
    <row r="271">
      <c r="A271" s="42"/>
      <c r="B271" s="57"/>
    </row>
    <row r="272">
      <c r="A272" s="42"/>
      <c r="B272" s="57"/>
    </row>
    <row r="273">
      <c r="A273" s="42"/>
      <c r="B273" s="57"/>
    </row>
    <row r="274">
      <c r="A274" s="42"/>
      <c r="B274" s="57"/>
    </row>
    <row r="275">
      <c r="A275" s="42"/>
      <c r="B275" s="57"/>
    </row>
    <row r="276">
      <c r="A276" s="42"/>
      <c r="B276" s="57"/>
    </row>
    <row r="277">
      <c r="A277" s="42"/>
      <c r="B277" s="57"/>
    </row>
    <row r="278">
      <c r="A278" s="42"/>
      <c r="B278" s="57"/>
    </row>
    <row r="279">
      <c r="A279" s="42"/>
      <c r="B279" s="57"/>
    </row>
    <row r="280">
      <c r="A280" s="42"/>
      <c r="B280" s="57"/>
    </row>
    <row r="281">
      <c r="A281" s="42"/>
      <c r="B281" s="57"/>
    </row>
    <row r="282">
      <c r="A282" s="42"/>
      <c r="B282" s="57"/>
    </row>
    <row r="283">
      <c r="A283" s="42"/>
      <c r="B283" s="57"/>
    </row>
    <row r="284">
      <c r="A284" s="42"/>
      <c r="B284" s="57"/>
    </row>
    <row r="285">
      <c r="A285" s="42"/>
      <c r="B285" s="57"/>
    </row>
    <row r="286">
      <c r="A286" s="42"/>
      <c r="B286" s="57"/>
    </row>
    <row r="287">
      <c r="A287" s="42"/>
      <c r="B287" s="57"/>
    </row>
    <row r="288">
      <c r="A288" s="42"/>
      <c r="B288" s="57"/>
    </row>
    <row r="289">
      <c r="A289" s="42"/>
      <c r="B289" s="57"/>
    </row>
    <row r="290">
      <c r="A290" s="42"/>
      <c r="B290" s="57"/>
    </row>
    <row r="291">
      <c r="A291" s="42"/>
      <c r="B291" s="57"/>
    </row>
    <row r="292">
      <c r="A292" s="42"/>
      <c r="B292" s="57"/>
    </row>
    <row r="293">
      <c r="A293" s="42"/>
      <c r="B293" s="57"/>
    </row>
    <row r="294">
      <c r="A294" s="42"/>
      <c r="B294" s="57"/>
    </row>
    <row r="295">
      <c r="A295" s="42"/>
      <c r="B295" s="57"/>
    </row>
    <row r="296">
      <c r="A296" s="42"/>
      <c r="B296" s="57"/>
    </row>
    <row r="297">
      <c r="A297" s="42"/>
      <c r="B297" s="57"/>
    </row>
    <row r="298">
      <c r="A298" s="42"/>
      <c r="B298" s="57"/>
    </row>
    <row r="299">
      <c r="A299" s="42"/>
      <c r="B299" s="57"/>
    </row>
    <row r="300">
      <c r="A300" s="42"/>
      <c r="B300" s="57"/>
    </row>
    <row r="301">
      <c r="A301" s="42"/>
      <c r="B301" s="57"/>
    </row>
    <row r="302">
      <c r="A302" s="42"/>
      <c r="B302" s="57"/>
    </row>
    <row r="303">
      <c r="A303" s="42"/>
      <c r="B303" s="57"/>
    </row>
    <row r="304">
      <c r="A304" s="42"/>
      <c r="B304" s="57"/>
    </row>
    <row r="305">
      <c r="A305" s="42"/>
      <c r="B305" s="57"/>
    </row>
    <row r="306">
      <c r="A306" s="42"/>
      <c r="B306" s="57"/>
    </row>
    <row r="307">
      <c r="A307" s="42"/>
      <c r="B307" s="57"/>
    </row>
    <row r="308">
      <c r="A308" s="42"/>
      <c r="B308" s="57"/>
    </row>
    <row r="309">
      <c r="A309" s="42"/>
      <c r="B309" s="57"/>
    </row>
    <row r="310">
      <c r="A310" s="42"/>
      <c r="B310" s="57"/>
    </row>
    <row r="311">
      <c r="A311" s="42"/>
      <c r="B311" s="57"/>
    </row>
    <row r="312">
      <c r="A312" s="42"/>
      <c r="B312" s="57"/>
    </row>
    <row r="313">
      <c r="A313" s="42"/>
      <c r="B313" s="57"/>
    </row>
    <row r="314">
      <c r="A314" s="42"/>
      <c r="B314" s="57"/>
    </row>
    <row r="315">
      <c r="A315" s="42"/>
      <c r="B315" s="57"/>
    </row>
    <row r="316">
      <c r="A316" s="42"/>
      <c r="B316" s="57"/>
    </row>
    <row r="317">
      <c r="A317" s="42"/>
      <c r="B317" s="57"/>
    </row>
    <row r="318">
      <c r="A318" s="42"/>
      <c r="B318" s="57"/>
    </row>
    <row r="319">
      <c r="A319" s="42"/>
      <c r="B319" s="57"/>
    </row>
    <row r="320">
      <c r="A320" s="42"/>
      <c r="B320" s="57"/>
    </row>
    <row r="321">
      <c r="A321" s="42"/>
      <c r="B321" s="57"/>
    </row>
    <row r="322">
      <c r="A322" s="42"/>
      <c r="B322" s="57"/>
    </row>
    <row r="323">
      <c r="A323" s="42"/>
      <c r="B323" s="57"/>
    </row>
    <row r="324">
      <c r="A324" s="42"/>
      <c r="B324" s="57"/>
    </row>
    <row r="325">
      <c r="A325" s="42"/>
      <c r="B325" s="57"/>
    </row>
    <row r="326">
      <c r="A326" s="42"/>
      <c r="B326" s="57"/>
    </row>
    <row r="327">
      <c r="A327" s="42"/>
      <c r="B327" s="57"/>
    </row>
    <row r="328">
      <c r="A328" s="42"/>
      <c r="B328" s="57"/>
    </row>
    <row r="329">
      <c r="A329" s="42"/>
      <c r="B329" s="57"/>
    </row>
    <row r="330">
      <c r="A330" s="42"/>
      <c r="B330" s="57"/>
    </row>
    <row r="331">
      <c r="A331" s="42"/>
      <c r="B331" s="57"/>
    </row>
    <row r="332">
      <c r="A332" s="42"/>
      <c r="B332" s="57"/>
    </row>
    <row r="333">
      <c r="A333" s="42"/>
      <c r="B333" s="57"/>
    </row>
    <row r="334">
      <c r="A334" s="42"/>
      <c r="B334" s="57"/>
    </row>
    <row r="335">
      <c r="A335" s="42"/>
      <c r="B335" s="57"/>
    </row>
    <row r="336">
      <c r="A336" s="42"/>
      <c r="B336" s="57"/>
    </row>
    <row r="337">
      <c r="A337" s="42"/>
      <c r="B337" s="57"/>
    </row>
    <row r="338">
      <c r="A338" s="42"/>
      <c r="B338" s="57"/>
    </row>
    <row r="339">
      <c r="A339" s="42"/>
      <c r="B339" s="57"/>
    </row>
    <row r="340">
      <c r="A340" s="42"/>
      <c r="B340" s="57"/>
    </row>
    <row r="341">
      <c r="A341" s="42"/>
      <c r="B341" s="57"/>
    </row>
    <row r="342">
      <c r="A342" s="42"/>
      <c r="B342" s="57"/>
    </row>
    <row r="343">
      <c r="A343" s="42"/>
      <c r="B343" s="57"/>
    </row>
    <row r="344">
      <c r="A344" s="42"/>
      <c r="B344" s="57"/>
    </row>
    <row r="345">
      <c r="A345" s="42"/>
      <c r="B345" s="57"/>
    </row>
    <row r="346">
      <c r="A346" s="42"/>
      <c r="B346" s="57"/>
    </row>
    <row r="347">
      <c r="A347" s="42"/>
      <c r="B347" s="57"/>
    </row>
    <row r="348">
      <c r="A348" s="42"/>
      <c r="B348" s="57"/>
    </row>
    <row r="349">
      <c r="A349" s="42"/>
      <c r="B349" s="57"/>
    </row>
    <row r="350">
      <c r="A350" s="42"/>
      <c r="B350" s="57"/>
    </row>
    <row r="351">
      <c r="A351" s="42"/>
      <c r="B351" s="57"/>
    </row>
    <row r="352">
      <c r="A352" s="42"/>
      <c r="B352" s="57"/>
    </row>
    <row r="353">
      <c r="A353" s="42"/>
      <c r="B353" s="57"/>
    </row>
    <row r="354">
      <c r="A354" s="42"/>
      <c r="B354" s="57"/>
    </row>
    <row r="355">
      <c r="A355" s="42"/>
      <c r="B355" s="57"/>
    </row>
    <row r="356">
      <c r="A356" s="42"/>
      <c r="B356" s="57"/>
    </row>
    <row r="357">
      <c r="A357" s="42"/>
      <c r="B357" s="57"/>
    </row>
    <row r="358">
      <c r="A358" s="42"/>
      <c r="B358" s="57"/>
    </row>
    <row r="359">
      <c r="A359" s="42"/>
      <c r="B359" s="57"/>
    </row>
    <row r="360">
      <c r="A360" s="42"/>
      <c r="B360" s="57"/>
    </row>
    <row r="361">
      <c r="A361" s="42"/>
      <c r="B361" s="57"/>
    </row>
    <row r="362">
      <c r="A362" s="42"/>
      <c r="B362" s="57"/>
    </row>
    <row r="363">
      <c r="A363" s="42"/>
      <c r="B363" s="57"/>
    </row>
    <row r="364">
      <c r="A364" s="42"/>
      <c r="B364" s="57"/>
    </row>
    <row r="365">
      <c r="A365" s="42"/>
      <c r="B365" s="57"/>
    </row>
    <row r="366">
      <c r="A366" s="42"/>
      <c r="B366" s="57"/>
    </row>
    <row r="367">
      <c r="A367" s="42"/>
      <c r="B367" s="57"/>
    </row>
    <row r="368">
      <c r="A368" s="42"/>
      <c r="B368" s="57"/>
    </row>
    <row r="369">
      <c r="A369" s="42"/>
      <c r="B369" s="57"/>
    </row>
    <row r="370">
      <c r="A370" s="42"/>
      <c r="B370" s="57"/>
    </row>
    <row r="371">
      <c r="A371" s="42"/>
      <c r="B371" s="57"/>
    </row>
    <row r="372">
      <c r="A372" s="42"/>
      <c r="B372" s="57"/>
    </row>
    <row r="373">
      <c r="A373" s="42"/>
      <c r="B373" s="57"/>
    </row>
    <row r="374">
      <c r="A374" s="42"/>
      <c r="B374" s="57"/>
    </row>
    <row r="375">
      <c r="A375" s="42"/>
      <c r="B375" s="57"/>
    </row>
    <row r="376">
      <c r="A376" s="42"/>
      <c r="B376" s="57"/>
    </row>
    <row r="377">
      <c r="A377" s="42"/>
      <c r="B377" s="57"/>
    </row>
    <row r="378">
      <c r="A378" s="42"/>
      <c r="B378" s="57"/>
    </row>
    <row r="379">
      <c r="A379" s="42"/>
      <c r="B379" s="57"/>
    </row>
    <row r="380">
      <c r="A380" s="42"/>
      <c r="B380" s="57"/>
    </row>
    <row r="381">
      <c r="A381" s="42"/>
      <c r="B381" s="57"/>
    </row>
    <row r="382">
      <c r="A382" s="42"/>
      <c r="B382" s="57"/>
    </row>
    <row r="383">
      <c r="A383" s="42"/>
      <c r="B383" s="57"/>
    </row>
    <row r="384">
      <c r="A384" s="42"/>
      <c r="B384" s="57"/>
    </row>
    <row r="385">
      <c r="A385" s="42"/>
      <c r="B385" s="57"/>
    </row>
    <row r="386">
      <c r="A386" s="42"/>
      <c r="B386" s="57"/>
    </row>
    <row r="387">
      <c r="A387" s="42"/>
      <c r="B387" s="57"/>
    </row>
    <row r="388">
      <c r="A388" s="42"/>
      <c r="B388" s="57"/>
    </row>
    <row r="389">
      <c r="A389" s="42"/>
      <c r="B389" s="57"/>
    </row>
    <row r="390">
      <c r="A390" s="42"/>
      <c r="B390" s="57"/>
    </row>
    <row r="391">
      <c r="A391" s="42"/>
      <c r="B391" s="57"/>
    </row>
    <row r="392">
      <c r="A392" s="42"/>
      <c r="B392" s="57"/>
    </row>
    <row r="393">
      <c r="A393" s="42"/>
      <c r="B393" s="57"/>
    </row>
    <row r="394">
      <c r="A394" s="42"/>
      <c r="B394" s="57"/>
    </row>
    <row r="395">
      <c r="A395" s="42"/>
      <c r="B395" s="57"/>
    </row>
    <row r="396">
      <c r="A396" s="42"/>
      <c r="B396" s="57"/>
    </row>
    <row r="397">
      <c r="A397" s="42"/>
      <c r="B397" s="57"/>
    </row>
    <row r="398">
      <c r="A398" s="42"/>
      <c r="B398" s="57"/>
    </row>
    <row r="399">
      <c r="A399" s="42"/>
      <c r="B399" s="57"/>
    </row>
    <row r="400">
      <c r="A400" s="42"/>
      <c r="B400" s="57"/>
    </row>
    <row r="401">
      <c r="A401" s="42"/>
      <c r="B401" s="57"/>
    </row>
    <row r="402">
      <c r="A402" s="42"/>
      <c r="B402" s="57"/>
    </row>
    <row r="403">
      <c r="A403" s="42"/>
      <c r="B403" s="57"/>
    </row>
    <row r="404">
      <c r="A404" s="42"/>
      <c r="B404" s="57"/>
    </row>
    <row r="405">
      <c r="A405" s="42"/>
      <c r="B405" s="57"/>
    </row>
    <row r="406">
      <c r="A406" s="42"/>
      <c r="B406" s="57"/>
    </row>
    <row r="407">
      <c r="A407" s="42"/>
      <c r="B407" s="57"/>
    </row>
    <row r="408">
      <c r="A408" s="42"/>
      <c r="B408" s="57"/>
    </row>
    <row r="409">
      <c r="A409" s="42"/>
      <c r="B409" s="57"/>
    </row>
    <row r="410">
      <c r="A410" s="42"/>
      <c r="B410" s="57"/>
    </row>
    <row r="411">
      <c r="A411" s="42"/>
      <c r="B411" s="57"/>
    </row>
    <row r="412">
      <c r="A412" s="42"/>
      <c r="B412" s="57"/>
    </row>
    <row r="413">
      <c r="A413" s="42"/>
      <c r="B413" s="57"/>
    </row>
    <row r="414">
      <c r="A414" s="42"/>
      <c r="B414" s="57"/>
    </row>
    <row r="415">
      <c r="A415" s="42"/>
      <c r="B415" s="57"/>
    </row>
    <row r="416">
      <c r="A416" s="42"/>
      <c r="B416" s="57"/>
    </row>
    <row r="417">
      <c r="A417" s="42"/>
      <c r="B417" s="57"/>
    </row>
    <row r="418">
      <c r="A418" s="42"/>
      <c r="B418" s="57"/>
    </row>
    <row r="419">
      <c r="A419" s="42"/>
      <c r="B419" s="57"/>
    </row>
    <row r="420">
      <c r="A420" s="42"/>
      <c r="B420" s="57"/>
    </row>
    <row r="421">
      <c r="A421" s="42"/>
      <c r="B421" s="57"/>
    </row>
    <row r="422">
      <c r="A422" s="42"/>
      <c r="B422" s="57"/>
    </row>
    <row r="423">
      <c r="A423" s="42"/>
      <c r="B423" s="57"/>
    </row>
    <row r="424">
      <c r="A424" s="42"/>
      <c r="B424" s="57"/>
    </row>
    <row r="425">
      <c r="A425" s="42"/>
      <c r="B425" s="57"/>
    </row>
    <row r="426">
      <c r="A426" s="42"/>
      <c r="B426" s="57"/>
    </row>
    <row r="427">
      <c r="A427" s="42"/>
      <c r="B427" s="57"/>
    </row>
    <row r="428">
      <c r="A428" s="42"/>
      <c r="B428" s="57"/>
    </row>
    <row r="429">
      <c r="A429" s="42"/>
      <c r="B429" s="57"/>
    </row>
    <row r="430">
      <c r="A430" s="42"/>
      <c r="B430" s="57"/>
    </row>
    <row r="431">
      <c r="A431" s="42"/>
      <c r="B431" s="57"/>
    </row>
    <row r="432">
      <c r="A432" s="42"/>
      <c r="B432" s="57"/>
    </row>
    <row r="433">
      <c r="A433" s="42"/>
      <c r="B433" s="57"/>
    </row>
    <row r="434">
      <c r="A434" s="42"/>
      <c r="B434" s="57"/>
    </row>
    <row r="435">
      <c r="A435" s="42"/>
      <c r="B435" s="57"/>
    </row>
    <row r="436">
      <c r="A436" s="42"/>
      <c r="B436" s="57"/>
    </row>
    <row r="437">
      <c r="A437" s="42"/>
      <c r="B437" s="57"/>
    </row>
    <row r="438">
      <c r="A438" s="42"/>
      <c r="B438" s="57"/>
    </row>
    <row r="439">
      <c r="A439" s="42"/>
      <c r="B439" s="57"/>
    </row>
    <row r="440">
      <c r="A440" s="42"/>
      <c r="B440" s="57"/>
    </row>
    <row r="441">
      <c r="A441" s="42"/>
      <c r="B441" s="57"/>
    </row>
    <row r="442">
      <c r="A442" s="42"/>
      <c r="B442" s="57"/>
    </row>
    <row r="443">
      <c r="A443" s="42"/>
      <c r="B443" s="57"/>
    </row>
    <row r="444">
      <c r="A444" s="42"/>
      <c r="B444" s="57"/>
    </row>
    <row r="445">
      <c r="A445" s="42"/>
      <c r="B445" s="57"/>
    </row>
    <row r="446">
      <c r="A446" s="42"/>
      <c r="B446" s="57"/>
    </row>
    <row r="447">
      <c r="A447" s="42"/>
      <c r="B447" s="57"/>
    </row>
    <row r="448">
      <c r="A448" s="42"/>
      <c r="B448" s="57"/>
    </row>
    <row r="449">
      <c r="A449" s="42"/>
      <c r="B449" s="57"/>
    </row>
    <row r="450">
      <c r="A450" s="42"/>
      <c r="B450" s="57"/>
    </row>
    <row r="451">
      <c r="A451" s="42"/>
      <c r="B451" s="57"/>
    </row>
    <row r="452">
      <c r="A452" s="42"/>
      <c r="B452" s="57"/>
    </row>
    <row r="453">
      <c r="A453" s="42"/>
      <c r="B453" s="57"/>
    </row>
    <row r="454">
      <c r="A454" s="42"/>
      <c r="B454" s="57"/>
    </row>
    <row r="455">
      <c r="A455" s="42"/>
      <c r="B455" s="57"/>
    </row>
    <row r="456">
      <c r="A456" s="42"/>
      <c r="B456" s="57"/>
    </row>
    <row r="457">
      <c r="A457" s="42"/>
      <c r="B457" s="57"/>
    </row>
    <row r="458">
      <c r="A458" s="42"/>
      <c r="B458" s="57"/>
    </row>
    <row r="459">
      <c r="A459" s="42"/>
      <c r="B459" s="57"/>
    </row>
    <row r="460">
      <c r="A460" s="42"/>
      <c r="B460" s="57"/>
    </row>
    <row r="461">
      <c r="A461" s="42"/>
      <c r="B461" s="57"/>
    </row>
    <row r="462">
      <c r="A462" s="42"/>
      <c r="B462" s="57"/>
    </row>
    <row r="463">
      <c r="A463" s="42"/>
      <c r="B463" s="57"/>
    </row>
    <row r="464">
      <c r="A464" s="42"/>
      <c r="B464" s="57"/>
    </row>
    <row r="465">
      <c r="A465" s="42"/>
      <c r="B465" s="57"/>
    </row>
    <row r="466">
      <c r="A466" s="42"/>
      <c r="B466" s="57"/>
    </row>
    <row r="467">
      <c r="A467" s="42"/>
      <c r="B467" s="57"/>
    </row>
    <row r="468">
      <c r="A468" s="42"/>
      <c r="B468" s="57"/>
    </row>
    <row r="469">
      <c r="A469" s="42"/>
      <c r="B469" s="57"/>
    </row>
    <row r="470">
      <c r="A470" s="42"/>
      <c r="B470" s="57"/>
    </row>
    <row r="471">
      <c r="A471" s="42"/>
      <c r="B471" s="57"/>
    </row>
    <row r="472">
      <c r="A472" s="42"/>
      <c r="B472" s="57"/>
    </row>
    <row r="473">
      <c r="A473" s="42"/>
      <c r="B473" s="57"/>
    </row>
    <row r="474">
      <c r="A474" s="42"/>
      <c r="B474" s="57"/>
    </row>
    <row r="475">
      <c r="A475" s="42"/>
      <c r="B475" s="57"/>
    </row>
    <row r="476">
      <c r="A476" s="42"/>
      <c r="B476" s="57"/>
    </row>
    <row r="477">
      <c r="A477" s="42"/>
      <c r="B477" s="57"/>
    </row>
    <row r="478">
      <c r="A478" s="42"/>
      <c r="B478" s="57"/>
    </row>
    <row r="479">
      <c r="A479" s="42"/>
      <c r="B479" s="57"/>
    </row>
    <row r="480">
      <c r="A480" s="42"/>
      <c r="B480" s="57"/>
    </row>
    <row r="481">
      <c r="A481" s="42"/>
      <c r="B481" s="57"/>
    </row>
    <row r="482">
      <c r="A482" s="42"/>
      <c r="B482" s="57"/>
    </row>
    <row r="483">
      <c r="A483" s="42"/>
      <c r="B483" s="57"/>
    </row>
    <row r="484">
      <c r="A484" s="42"/>
      <c r="B484" s="57"/>
    </row>
    <row r="485">
      <c r="A485" s="42"/>
      <c r="B485" s="57"/>
    </row>
    <row r="486">
      <c r="A486" s="42"/>
      <c r="B486" s="57"/>
    </row>
    <row r="487">
      <c r="A487" s="42"/>
      <c r="B487" s="57"/>
    </row>
    <row r="488">
      <c r="A488" s="42"/>
      <c r="B488" s="57"/>
    </row>
    <row r="489">
      <c r="A489" s="42"/>
      <c r="B489" s="57"/>
    </row>
    <row r="490">
      <c r="A490" s="42"/>
      <c r="B490" s="57"/>
    </row>
    <row r="491">
      <c r="A491" s="42"/>
      <c r="B491" s="57"/>
    </row>
    <row r="492">
      <c r="A492" s="42"/>
      <c r="B492" s="57"/>
    </row>
    <row r="493">
      <c r="A493" s="42"/>
      <c r="B493" s="57"/>
    </row>
    <row r="494">
      <c r="A494" s="42"/>
      <c r="B494" s="57"/>
    </row>
    <row r="495">
      <c r="A495" s="42"/>
      <c r="B495" s="57"/>
    </row>
    <row r="496">
      <c r="A496" s="42"/>
      <c r="B496" s="57"/>
    </row>
    <row r="497">
      <c r="A497" s="42"/>
      <c r="B497" s="57"/>
    </row>
    <row r="498">
      <c r="A498" s="42"/>
      <c r="B498" s="57"/>
    </row>
    <row r="499">
      <c r="A499" s="42"/>
      <c r="B499" s="57"/>
    </row>
    <row r="500">
      <c r="A500" s="42"/>
      <c r="B500" s="57"/>
    </row>
    <row r="501">
      <c r="A501" s="42"/>
      <c r="B501" s="57"/>
    </row>
    <row r="502">
      <c r="A502" s="42"/>
      <c r="B502" s="57"/>
    </row>
    <row r="503">
      <c r="A503" s="42"/>
      <c r="B503" s="57"/>
    </row>
    <row r="504">
      <c r="A504" s="42"/>
      <c r="B504" s="57"/>
    </row>
    <row r="505">
      <c r="A505" s="42"/>
      <c r="B505" s="57"/>
    </row>
    <row r="506">
      <c r="A506" s="42"/>
      <c r="B506" s="57"/>
    </row>
    <row r="507">
      <c r="A507" s="42"/>
      <c r="B507" s="57"/>
    </row>
    <row r="508">
      <c r="A508" s="42"/>
      <c r="B508" s="57"/>
    </row>
    <row r="509">
      <c r="A509" s="42"/>
      <c r="B509" s="57"/>
    </row>
    <row r="510">
      <c r="A510" s="42"/>
      <c r="B510" s="57"/>
    </row>
    <row r="511">
      <c r="A511" s="42"/>
      <c r="B511" s="57"/>
    </row>
    <row r="512">
      <c r="A512" s="42"/>
      <c r="B512" s="57"/>
    </row>
    <row r="513">
      <c r="A513" s="42"/>
      <c r="B513" s="57"/>
    </row>
    <row r="514">
      <c r="A514" s="42"/>
      <c r="B514" s="57"/>
    </row>
    <row r="515">
      <c r="A515" s="42"/>
      <c r="B515" s="57"/>
    </row>
    <row r="516">
      <c r="A516" s="42"/>
      <c r="B516" s="57"/>
    </row>
    <row r="517">
      <c r="A517" s="42"/>
      <c r="B517" s="57"/>
    </row>
    <row r="518">
      <c r="A518" s="42"/>
      <c r="B518" s="57"/>
    </row>
    <row r="519">
      <c r="A519" s="42"/>
      <c r="B519" s="57"/>
    </row>
    <row r="520">
      <c r="A520" s="42"/>
      <c r="B520" s="57"/>
    </row>
    <row r="521">
      <c r="A521" s="42"/>
      <c r="B521" s="57"/>
    </row>
    <row r="522">
      <c r="A522" s="42"/>
      <c r="B522" s="57"/>
    </row>
    <row r="523">
      <c r="A523" s="42"/>
      <c r="B523" s="57"/>
    </row>
    <row r="524">
      <c r="A524" s="42"/>
      <c r="B524" s="57"/>
    </row>
    <row r="525">
      <c r="A525" s="42"/>
      <c r="B525" s="57"/>
    </row>
    <row r="526">
      <c r="A526" s="42"/>
      <c r="B526" s="57"/>
    </row>
    <row r="527">
      <c r="A527" s="42"/>
      <c r="B527" s="57"/>
    </row>
    <row r="528">
      <c r="A528" s="42"/>
      <c r="B528" s="57"/>
    </row>
    <row r="529">
      <c r="A529" s="42"/>
      <c r="B529" s="57"/>
    </row>
    <row r="530">
      <c r="A530" s="42"/>
      <c r="B530" s="57"/>
    </row>
    <row r="531">
      <c r="A531" s="42"/>
      <c r="B531" s="57"/>
    </row>
    <row r="532">
      <c r="A532" s="42"/>
      <c r="B532" s="57"/>
    </row>
    <row r="533">
      <c r="A533" s="42"/>
      <c r="B533" s="57"/>
    </row>
    <row r="534">
      <c r="A534" s="42"/>
      <c r="B534" s="57"/>
    </row>
    <row r="535">
      <c r="A535" s="42"/>
      <c r="B535" s="57"/>
    </row>
    <row r="536">
      <c r="A536" s="42"/>
      <c r="B536" s="57"/>
    </row>
    <row r="537">
      <c r="A537" s="42"/>
      <c r="B537" s="57"/>
    </row>
    <row r="538">
      <c r="A538" s="42"/>
      <c r="B538" s="57"/>
    </row>
    <row r="539">
      <c r="A539" s="42"/>
      <c r="B539" s="57"/>
    </row>
    <row r="540">
      <c r="A540" s="42"/>
      <c r="B540" s="57"/>
    </row>
    <row r="541">
      <c r="A541" s="42"/>
      <c r="B541" s="57"/>
    </row>
    <row r="542">
      <c r="A542" s="42"/>
      <c r="B542" s="57"/>
    </row>
    <row r="543">
      <c r="A543" s="42"/>
      <c r="B543" s="57"/>
    </row>
    <row r="544">
      <c r="A544" s="42"/>
      <c r="B544" s="57"/>
    </row>
    <row r="545">
      <c r="A545" s="42"/>
      <c r="B545" s="57"/>
    </row>
    <row r="546">
      <c r="A546" s="42"/>
      <c r="B546" s="57"/>
    </row>
    <row r="547">
      <c r="A547" s="42"/>
      <c r="B547" s="57"/>
    </row>
    <row r="548">
      <c r="A548" s="42"/>
      <c r="B548" s="57"/>
    </row>
    <row r="549">
      <c r="A549" s="42"/>
      <c r="B549" s="57"/>
    </row>
    <row r="550">
      <c r="A550" s="42"/>
      <c r="B550" s="57"/>
    </row>
    <row r="551">
      <c r="A551" s="42"/>
      <c r="B551" s="57"/>
    </row>
    <row r="552">
      <c r="A552" s="42"/>
      <c r="B552" s="57"/>
    </row>
    <row r="553">
      <c r="A553" s="42"/>
      <c r="B553" s="57"/>
    </row>
    <row r="554">
      <c r="A554" s="42"/>
      <c r="B554" s="57"/>
    </row>
    <row r="555">
      <c r="A555" s="42"/>
      <c r="B555" s="57"/>
    </row>
    <row r="556">
      <c r="A556" s="42"/>
      <c r="B556" s="57"/>
    </row>
    <row r="557">
      <c r="A557" s="42"/>
      <c r="B557" s="57"/>
    </row>
    <row r="558">
      <c r="A558" s="42"/>
      <c r="B558" s="57"/>
    </row>
    <row r="559">
      <c r="A559" s="42"/>
      <c r="B559" s="57"/>
    </row>
    <row r="560">
      <c r="A560" s="42"/>
      <c r="B560" s="57"/>
    </row>
    <row r="561">
      <c r="A561" s="42"/>
      <c r="B561" s="57"/>
    </row>
    <row r="562">
      <c r="A562" s="42"/>
      <c r="B562" s="57"/>
    </row>
    <row r="563">
      <c r="A563" s="42"/>
      <c r="B563" s="57"/>
    </row>
    <row r="564">
      <c r="A564" s="42"/>
      <c r="B564" s="57"/>
    </row>
    <row r="565">
      <c r="A565" s="42"/>
      <c r="B565" s="57"/>
    </row>
    <row r="566">
      <c r="A566" s="42"/>
      <c r="B566" s="57"/>
    </row>
    <row r="567">
      <c r="A567" s="42"/>
      <c r="B567" s="57"/>
    </row>
    <row r="568">
      <c r="A568" s="42"/>
      <c r="B568" s="57"/>
    </row>
    <row r="569">
      <c r="A569" s="42"/>
      <c r="B569" s="57"/>
    </row>
    <row r="570">
      <c r="A570" s="42"/>
      <c r="B570" s="57"/>
    </row>
    <row r="571">
      <c r="A571" s="42"/>
      <c r="B571" s="57"/>
    </row>
    <row r="572">
      <c r="A572" s="42"/>
      <c r="B572" s="57"/>
    </row>
    <row r="573">
      <c r="A573" s="42"/>
      <c r="B573" s="57"/>
    </row>
    <row r="574">
      <c r="A574" s="42"/>
      <c r="B574" s="57"/>
    </row>
    <row r="575">
      <c r="A575" s="42"/>
      <c r="B575" s="57"/>
    </row>
    <row r="576">
      <c r="A576" s="42"/>
      <c r="B576" s="57"/>
    </row>
    <row r="577">
      <c r="A577" s="42"/>
      <c r="B577" s="57"/>
    </row>
    <row r="578">
      <c r="A578" s="42"/>
      <c r="B578" s="57"/>
    </row>
    <row r="579">
      <c r="A579" s="42"/>
      <c r="B579" s="57"/>
    </row>
    <row r="580">
      <c r="A580" s="42"/>
      <c r="B580" s="57"/>
    </row>
    <row r="581">
      <c r="A581" s="42"/>
      <c r="B581" s="57"/>
    </row>
    <row r="582">
      <c r="A582" s="42"/>
      <c r="B582" s="57"/>
    </row>
    <row r="583">
      <c r="A583" s="42"/>
      <c r="B583" s="57"/>
    </row>
    <row r="584">
      <c r="A584" s="42"/>
      <c r="B584" s="57"/>
    </row>
    <row r="585">
      <c r="A585" s="42"/>
      <c r="B585" s="57"/>
    </row>
    <row r="586">
      <c r="A586" s="42"/>
      <c r="B586" s="57"/>
    </row>
    <row r="587">
      <c r="A587" s="42"/>
      <c r="B587" s="57"/>
    </row>
    <row r="588">
      <c r="A588" s="42"/>
      <c r="B588" s="57"/>
    </row>
    <row r="589">
      <c r="A589" s="42"/>
      <c r="B589" s="57"/>
    </row>
    <row r="590">
      <c r="A590" s="42"/>
      <c r="B590" s="57"/>
    </row>
    <row r="591">
      <c r="A591" s="42"/>
      <c r="B591" s="57"/>
    </row>
    <row r="592">
      <c r="A592" s="42"/>
      <c r="B592" s="57"/>
    </row>
    <row r="593">
      <c r="A593" s="42"/>
      <c r="B593" s="57"/>
    </row>
    <row r="594">
      <c r="A594" s="42"/>
      <c r="B594" s="57"/>
    </row>
    <row r="595">
      <c r="A595" s="42"/>
      <c r="B595" s="57"/>
    </row>
    <row r="596">
      <c r="A596" s="42"/>
      <c r="B596" s="57"/>
    </row>
    <row r="597">
      <c r="A597" s="42"/>
      <c r="B597" s="57"/>
    </row>
    <row r="598">
      <c r="A598" s="42"/>
      <c r="B598" s="57"/>
    </row>
    <row r="599">
      <c r="A599" s="42"/>
      <c r="B599" s="57"/>
    </row>
    <row r="600">
      <c r="A600" s="42"/>
      <c r="B600" s="57"/>
    </row>
    <row r="601">
      <c r="A601" s="42"/>
      <c r="B601" s="57"/>
    </row>
    <row r="602">
      <c r="A602" s="42"/>
      <c r="B602" s="57"/>
    </row>
    <row r="603">
      <c r="A603" s="42"/>
      <c r="B603" s="57"/>
    </row>
    <row r="604">
      <c r="A604" s="42"/>
      <c r="B604" s="57"/>
    </row>
    <row r="605">
      <c r="A605" s="42"/>
      <c r="B605" s="57"/>
    </row>
    <row r="606">
      <c r="A606" s="42"/>
      <c r="B606" s="57"/>
    </row>
    <row r="607">
      <c r="A607" s="42"/>
      <c r="B607" s="57"/>
    </row>
    <row r="608">
      <c r="A608" s="42"/>
      <c r="B608" s="57"/>
    </row>
    <row r="609">
      <c r="A609" s="42"/>
      <c r="B609" s="57"/>
    </row>
    <row r="610">
      <c r="A610" s="42"/>
      <c r="B610" s="57"/>
    </row>
    <row r="611">
      <c r="A611" s="42"/>
      <c r="B611" s="57"/>
    </row>
    <row r="612">
      <c r="A612" s="42"/>
      <c r="B612" s="57"/>
    </row>
    <row r="613">
      <c r="A613" s="42"/>
      <c r="B613" s="57"/>
    </row>
    <row r="614">
      <c r="A614" s="42"/>
      <c r="B614" s="57"/>
    </row>
    <row r="615">
      <c r="A615" s="42"/>
      <c r="B615" s="57"/>
    </row>
    <row r="616">
      <c r="A616" s="42"/>
      <c r="B616" s="57"/>
    </row>
    <row r="617">
      <c r="A617" s="42"/>
      <c r="B617" s="57"/>
    </row>
    <row r="618">
      <c r="A618" s="42"/>
      <c r="B618" s="57"/>
    </row>
    <row r="619">
      <c r="A619" s="42"/>
      <c r="B619" s="57"/>
    </row>
    <row r="620">
      <c r="A620" s="42"/>
      <c r="B620" s="57"/>
    </row>
    <row r="621">
      <c r="A621" s="42"/>
      <c r="B621" s="57"/>
    </row>
    <row r="622">
      <c r="A622" s="42"/>
      <c r="B622" s="57"/>
    </row>
    <row r="623">
      <c r="A623" s="42"/>
      <c r="B623" s="57"/>
    </row>
    <row r="624">
      <c r="A624" s="42"/>
      <c r="B624" s="57"/>
    </row>
    <row r="625">
      <c r="A625" s="42"/>
      <c r="B625" s="57"/>
    </row>
    <row r="626">
      <c r="A626" s="42"/>
      <c r="B626" s="57"/>
    </row>
    <row r="627">
      <c r="A627" s="42"/>
      <c r="B627" s="57"/>
    </row>
    <row r="628">
      <c r="A628" s="42"/>
      <c r="B628" s="57"/>
    </row>
    <row r="629">
      <c r="A629" s="42"/>
      <c r="B629" s="57"/>
    </row>
    <row r="630">
      <c r="A630" s="42"/>
      <c r="B630" s="57"/>
    </row>
    <row r="631">
      <c r="A631" s="42"/>
      <c r="B631" s="57"/>
    </row>
    <row r="632">
      <c r="A632" s="42"/>
      <c r="B632" s="57"/>
    </row>
    <row r="633">
      <c r="A633" s="42"/>
      <c r="B633" s="57"/>
    </row>
    <row r="634">
      <c r="A634" s="42"/>
      <c r="B634" s="57"/>
    </row>
    <row r="635">
      <c r="A635" s="42"/>
      <c r="B635" s="57"/>
    </row>
    <row r="636">
      <c r="A636" s="42"/>
      <c r="B636" s="57"/>
    </row>
    <row r="637">
      <c r="A637" s="42"/>
      <c r="B637" s="57"/>
    </row>
    <row r="638">
      <c r="A638" s="42"/>
      <c r="B638" s="57"/>
    </row>
    <row r="639">
      <c r="A639" s="42"/>
      <c r="B639" s="57"/>
    </row>
    <row r="640">
      <c r="A640" s="42"/>
      <c r="B640" s="57"/>
    </row>
    <row r="641">
      <c r="A641" s="42"/>
      <c r="B641" s="57"/>
    </row>
    <row r="642">
      <c r="A642" s="42"/>
      <c r="B642" s="57"/>
    </row>
    <row r="643">
      <c r="A643" s="42"/>
      <c r="B643" s="57"/>
    </row>
    <row r="644">
      <c r="A644" s="42"/>
      <c r="B644" s="57"/>
    </row>
    <row r="645">
      <c r="A645" s="42"/>
      <c r="B645" s="57"/>
    </row>
    <row r="646">
      <c r="A646" s="42"/>
      <c r="B646" s="57"/>
    </row>
    <row r="647">
      <c r="A647" s="42"/>
      <c r="B647" s="57"/>
    </row>
    <row r="648">
      <c r="A648" s="42"/>
      <c r="B648" s="57"/>
    </row>
    <row r="649">
      <c r="A649" s="42"/>
      <c r="B649" s="57"/>
    </row>
    <row r="650">
      <c r="A650" s="42"/>
      <c r="B650" s="57"/>
    </row>
    <row r="651">
      <c r="A651" s="42"/>
      <c r="B651" s="57"/>
    </row>
    <row r="652">
      <c r="A652" s="42"/>
      <c r="B652" s="57"/>
    </row>
    <row r="653">
      <c r="A653" s="42"/>
      <c r="B653" s="57"/>
    </row>
    <row r="654">
      <c r="A654" s="42"/>
      <c r="B654" s="57"/>
    </row>
    <row r="655">
      <c r="A655" s="42"/>
      <c r="B655" s="57"/>
    </row>
    <row r="656">
      <c r="A656" s="42"/>
      <c r="B656" s="57"/>
    </row>
    <row r="657">
      <c r="A657" s="42"/>
      <c r="B657" s="57"/>
    </row>
    <row r="658">
      <c r="A658" s="42"/>
      <c r="B658" s="57"/>
    </row>
    <row r="659">
      <c r="A659" s="42"/>
      <c r="B659" s="57"/>
    </row>
    <row r="660">
      <c r="A660" s="42"/>
      <c r="B660" s="57"/>
    </row>
    <row r="661">
      <c r="A661" s="42"/>
      <c r="B661" s="57"/>
    </row>
    <row r="662">
      <c r="A662" s="42"/>
      <c r="B662" s="57"/>
    </row>
    <row r="663">
      <c r="A663" s="42"/>
      <c r="B663" s="57"/>
    </row>
    <row r="664">
      <c r="A664" s="42"/>
      <c r="B664" s="57"/>
    </row>
    <row r="665">
      <c r="A665" s="42"/>
      <c r="B665" s="57"/>
    </row>
    <row r="666">
      <c r="A666" s="42"/>
      <c r="B666" s="57"/>
    </row>
    <row r="667">
      <c r="A667" s="42"/>
      <c r="B667" s="57"/>
    </row>
    <row r="668">
      <c r="A668" s="42"/>
      <c r="B668" s="57"/>
    </row>
    <row r="669">
      <c r="A669" s="42"/>
      <c r="B669" s="57"/>
    </row>
    <row r="670">
      <c r="A670" s="42"/>
      <c r="B670" s="57"/>
    </row>
    <row r="671">
      <c r="A671" s="42"/>
      <c r="B671" s="57"/>
    </row>
    <row r="672">
      <c r="A672" s="42"/>
      <c r="B672" s="57"/>
    </row>
    <row r="673">
      <c r="A673" s="42"/>
      <c r="B673" s="57"/>
    </row>
    <row r="674">
      <c r="A674" s="42"/>
      <c r="B674" s="57"/>
    </row>
    <row r="675">
      <c r="A675" s="42"/>
      <c r="B675" s="57"/>
    </row>
    <row r="676">
      <c r="A676" s="42"/>
      <c r="B676" s="57"/>
    </row>
    <row r="677">
      <c r="A677" s="42"/>
      <c r="B677" s="57"/>
    </row>
    <row r="678">
      <c r="A678" s="42"/>
      <c r="B678" s="57"/>
    </row>
    <row r="679">
      <c r="A679" s="42"/>
      <c r="B679" s="57"/>
    </row>
    <row r="680">
      <c r="A680" s="42"/>
      <c r="B680" s="57"/>
    </row>
    <row r="681">
      <c r="A681" s="42"/>
      <c r="B681" s="57"/>
    </row>
    <row r="682">
      <c r="A682" s="42"/>
      <c r="B682" s="57"/>
    </row>
    <row r="683">
      <c r="A683" s="42"/>
      <c r="B683" s="57"/>
    </row>
    <row r="684">
      <c r="A684" s="42"/>
      <c r="B684" s="57"/>
    </row>
    <row r="685">
      <c r="A685" s="42"/>
      <c r="B685" s="57"/>
    </row>
    <row r="686">
      <c r="A686" s="42"/>
      <c r="B686" s="57"/>
    </row>
    <row r="687">
      <c r="A687" s="42"/>
      <c r="B687" s="57"/>
    </row>
    <row r="688">
      <c r="A688" s="42"/>
      <c r="B688" s="57"/>
    </row>
    <row r="689">
      <c r="A689" s="42"/>
      <c r="B689" s="57"/>
    </row>
    <row r="690">
      <c r="A690" s="42"/>
      <c r="B690" s="57"/>
    </row>
    <row r="691">
      <c r="A691" s="42"/>
      <c r="B691" s="57"/>
    </row>
    <row r="692">
      <c r="A692" s="42"/>
      <c r="B692" s="57"/>
    </row>
    <row r="693">
      <c r="A693" s="42"/>
      <c r="B693" s="57"/>
    </row>
    <row r="694">
      <c r="A694" s="42"/>
      <c r="B694" s="57"/>
    </row>
    <row r="695">
      <c r="A695" s="42"/>
      <c r="B695" s="57"/>
    </row>
    <row r="696">
      <c r="A696" s="42"/>
      <c r="B696" s="57"/>
    </row>
    <row r="697">
      <c r="A697" s="42"/>
      <c r="B697" s="57"/>
    </row>
    <row r="698">
      <c r="A698" s="42"/>
      <c r="B698" s="57"/>
    </row>
    <row r="699">
      <c r="A699" s="42"/>
      <c r="B699" s="57"/>
    </row>
    <row r="700">
      <c r="A700" s="42"/>
      <c r="B700" s="57"/>
    </row>
    <row r="701">
      <c r="A701" s="42"/>
      <c r="B701" s="57"/>
    </row>
    <row r="702">
      <c r="A702" s="42"/>
      <c r="B702" s="57"/>
    </row>
    <row r="703">
      <c r="A703" s="42"/>
      <c r="B703" s="57"/>
    </row>
    <row r="704">
      <c r="A704" s="42"/>
      <c r="B704" s="57"/>
    </row>
    <row r="705">
      <c r="A705" s="42"/>
      <c r="B705" s="57"/>
    </row>
    <row r="706">
      <c r="A706" s="42"/>
      <c r="B706" s="57"/>
    </row>
    <row r="707">
      <c r="A707" s="42"/>
      <c r="B707" s="57"/>
    </row>
    <row r="708">
      <c r="A708" s="42"/>
      <c r="B708" s="57"/>
    </row>
    <row r="709">
      <c r="A709" s="42"/>
      <c r="B709" s="57"/>
    </row>
    <row r="710">
      <c r="A710" s="42"/>
      <c r="B710" s="57"/>
    </row>
    <row r="711">
      <c r="A711" s="42"/>
      <c r="B711" s="57"/>
    </row>
    <row r="712">
      <c r="A712" s="42"/>
      <c r="B712" s="57"/>
    </row>
    <row r="713">
      <c r="A713" s="42"/>
      <c r="B713" s="57"/>
    </row>
    <row r="714">
      <c r="A714" s="42"/>
      <c r="B714" s="57"/>
    </row>
    <row r="715">
      <c r="A715" s="42"/>
      <c r="B715" s="57"/>
    </row>
    <row r="716">
      <c r="A716" s="42"/>
      <c r="B716" s="57"/>
    </row>
    <row r="717">
      <c r="A717" s="42"/>
      <c r="B717" s="57"/>
    </row>
    <row r="718">
      <c r="A718" s="42"/>
      <c r="B718" s="57"/>
    </row>
    <row r="719">
      <c r="A719" s="42"/>
      <c r="B719" s="57"/>
    </row>
    <row r="720">
      <c r="A720" s="42"/>
      <c r="B720" s="57"/>
    </row>
    <row r="721">
      <c r="A721" s="42"/>
      <c r="B721" s="57"/>
    </row>
    <row r="722">
      <c r="A722" s="42"/>
      <c r="B722" s="57"/>
    </row>
    <row r="723">
      <c r="A723" s="42"/>
      <c r="B723" s="57"/>
    </row>
    <row r="724">
      <c r="A724" s="42"/>
      <c r="B724" s="57"/>
    </row>
    <row r="725">
      <c r="A725" s="42"/>
      <c r="B725" s="57"/>
    </row>
    <row r="726">
      <c r="A726" s="42"/>
      <c r="B726" s="57"/>
    </row>
    <row r="727">
      <c r="A727" s="42"/>
      <c r="B727" s="57"/>
    </row>
    <row r="728">
      <c r="A728" s="42"/>
      <c r="B728" s="57"/>
    </row>
    <row r="729">
      <c r="A729" s="42"/>
      <c r="B729" s="57"/>
    </row>
    <row r="730">
      <c r="A730" s="42"/>
      <c r="B730" s="57"/>
    </row>
    <row r="731">
      <c r="A731" s="42"/>
      <c r="B731" s="57"/>
    </row>
    <row r="732">
      <c r="A732" s="42"/>
      <c r="B732" s="57"/>
    </row>
    <row r="733">
      <c r="A733" s="42"/>
      <c r="B733" s="57"/>
    </row>
    <row r="734">
      <c r="A734" s="42"/>
      <c r="B734" s="57"/>
    </row>
    <row r="735">
      <c r="A735" s="42"/>
      <c r="B735" s="57"/>
    </row>
    <row r="736">
      <c r="A736" s="42"/>
      <c r="B736" s="57"/>
    </row>
    <row r="737">
      <c r="A737" s="42"/>
      <c r="B737" s="57"/>
    </row>
    <row r="738">
      <c r="A738" s="42"/>
      <c r="B738" s="57"/>
    </row>
    <row r="739">
      <c r="A739" s="42"/>
      <c r="B739" s="57"/>
    </row>
    <row r="740">
      <c r="A740" s="42"/>
      <c r="B740" s="57"/>
    </row>
    <row r="741">
      <c r="A741" s="42"/>
      <c r="B741" s="57"/>
    </row>
    <row r="742">
      <c r="A742" s="42"/>
      <c r="B742" s="57"/>
    </row>
    <row r="743">
      <c r="A743" s="42"/>
      <c r="B743" s="57"/>
    </row>
    <row r="744">
      <c r="A744" s="42"/>
      <c r="B744" s="57"/>
    </row>
    <row r="745">
      <c r="A745" s="42"/>
      <c r="B745" s="57"/>
    </row>
    <row r="746">
      <c r="A746" s="42"/>
      <c r="B746" s="57"/>
    </row>
    <row r="747">
      <c r="A747" s="42"/>
      <c r="B747" s="57"/>
    </row>
    <row r="748">
      <c r="A748" s="42"/>
      <c r="B748" s="57"/>
    </row>
    <row r="749">
      <c r="A749" s="42"/>
      <c r="B749" s="57"/>
    </row>
    <row r="750">
      <c r="A750" s="42"/>
      <c r="B750" s="57"/>
    </row>
    <row r="751">
      <c r="A751" s="42"/>
      <c r="B751" s="57"/>
    </row>
    <row r="752">
      <c r="A752" s="42"/>
      <c r="B752" s="57"/>
    </row>
    <row r="753">
      <c r="A753" s="42"/>
      <c r="B753" s="57"/>
    </row>
    <row r="754">
      <c r="A754" s="42"/>
      <c r="B754" s="57"/>
    </row>
    <row r="755">
      <c r="A755" s="42"/>
      <c r="B755" s="57"/>
    </row>
    <row r="756">
      <c r="A756" s="42"/>
      <c r="B756" s="57"/>
    </row>
    <row r="757">
      <c r="A757" s="42"/>
      <c r="B757" s="57"/>
    </row>
    <row r="758">
      <c r="A758" s="42"/>
      <c r="B758" s="57"/>
    </row>
    <row r="759">
      <c r="A759" s="42"/>
      <c r="B759" s="57"/>
    </row>
    <row r="760">
      <c r="A760" s="42"/>
      <c r="B760" s="57"/>
    </row>
    <row r="761">
      <c r="A761" s="42"/>
      <c r="B761" s="57"/>
    </row>
    <row r="762">
      <c r="A762" s="42"/>
      <c r="B762" s="57"/>
    </row>
    <row r="763">
      <c r="A763" s="42"/>
      <c r="B763" s="57"/>
    </row>
    <row r="764">
      <c r="A764" s="42"/>
      <c r="B764" s="57"/>
    </row>
    <row r="765">
      <c r="A765" s="42"/>
      <c r="B765" s="57"/>
    </row>
    <row r="766">
      <c r="A766" s="42"/>
      <c r="B766" s="57"/>
    </row>
    <row r="767">
      <c r="A767" s="42"/>
      <c r="B767" s="57"/>
    </row>
    <row r="768">
      <c r="A768" s="42"/>
      <c r="B768" s="57"/>
    </row>
    <row r="769">
      <c r="A769" s="42"/>
      <c r="B769" s="57"/>
    </row>
    <row r="770">
      <c r="A770" s="42"/>
      <c r="B770" s="57"/>
    </row>
    <row r="771">
      <c r="A771" s="42"/>
      <c r="B771" s="57"/>
    </row>
    <row r="772">
      <c r="A772" s="42"/>
      <c r="B772" s="57"/>
    </row>
    <row r="773">
      <c r="A773" s="42"/>
      <c r="B773" s="57"/>
    </row>
    <row r="774">
      <c r="A774" s="42"/>
      <c r="B774" s="57"/>
    </row>
    <row r="775">
      <c r="A775" s="42"/>
      <c r="B775" s="57"/>
    </row>
    <row r="776">
      <c r="A776" s="42"/>
      <c r="B776" s="57"/>
    </row>
    <row r="777">
      <c r="A777" s="42"/>
      <c r="B777" s="57"/>
    </row>
    <row r="778">
      <c r="A778" s="42"/>
      <c r="B778" s="57"/>
    </row>
    <row r="779">
      <c r="A779" s="42"/>
      <c r="B779" s="57"/>
    </row>
    <row r="780">
      <c r="A780" s="42"/>
      <c r="B780" s="57"/>
    </row>
    <row r="781">
      <c r="A781" s="42"/>
      <c r="B781" s="57"/>
    </row>
    <row r="782">
      <c r="A782" s="42"/>
      <c r="B782" s="57"/>
    </row>
    <row r="783">
      <c r="A783" s="42"/>
      <c r="B783" s="57"/>
    </row>
    <row r="784">
      <c r="A784" s="42"/>
      <c r="B784" s="57"/>
    </row>
    <row r="785">
      <c r="A785" s="42"/>
      <c r="B785" s="57"/>
    </row>
    <row r="786">
      <c r="A786" s="42"/>
      <c r="B786" s="57"/>
    </row>
    <row r="787">
      <c r="A787" s="42"/>
      <c r="B787" s="57"/>
    </row>
    <row r="788">
      <c r="A788" s="42"/>
      <c r="B788" s="57"/>
    </row>
    <row r="789">
      <c r="A789" s="42"/>
      <c r="B789" s="57"/>
    </row>
    <row r="790">
      <c r="A790" s="42"/>
      <c r="B790" s="57"/>
    </row>
    <row r="791">
      <c r="A791" s="42"/>
      <c r="B791" s="57"/>
    </row>
    <row r="792">
      <c r="A792" s="42"/>
      <c r="B792" s="57"/>
    </row>
    <row r="793">
      <c r="A793" s="42"/>
      <c r="B793" s="57"/>
    </row>
    <row r="794">
      <c r="A794" s="42"/>
      <c r="B794" s="57"/>
    </row>
    <row r="795">
      <c r="A795" s="42"/>
      <c r="B795" s="57"/>
    </row>
    <row r="796">
      <c r="A796" s="42"/>
      <c r="B796" s="57"/>
    </row>
    <row r="797">
      <c r="A797" s="42"/>
      <c r="B797" s="57"/>
    </row>
    <row r="798">
      <c r="A798" s="42"/>
      <c r="B798" s="57"/>
    </row>
    <row r="799">
      <c r="A799" s="42"/>
      <c r="B799" s="57"/>
    </row>
    <row r="800">
      <c r="A800" s="42"/>
      <c r="B800" s="57"/>
    </row>
    <row r="801">
      <c r="A801" s="42"/>
      <c r="B801" s="57"/>
    </row>
    <row r="802">
      <c r="A802" s="42"/>
      <c r="B802" s="57"/>
    </row>
    <row r="803">
      <c r="A803" s="42"/>
      <c r="B803" s="57"/>
    </row>
    <row r="804">
      <c r="A804" s="42"/>
      <c r="B804" s="57"/>
    </row>
    <row r="805">
      <c r="A805" s="42"/>
      <c r="B805" s="57"/>
    </row>
    <row r="806">
      <c r="A806" s="42"/>
      <c r="B806" s="57"/>
    </row>
    <row r="807">
      <c r="A807" s="42"/>
      <c r="B807" s="57"/>
    </row>
    <row r="808">
      <c r="A808" s="42"/>
      <c r="B808" s="57"/>
    </row>
    <row r="809">
      <c r="A809" s="42"/>
      <c r="B809" s="57"/>
    </row>
    <row r="810">
      <c r="A810" s="42"/>
      <c r="B810" s="57"/>
    </row>
    <row r="811">
      <c r="A811" s="42"/>
      <c r="B811" s="57"/>
    </row>
    <row r="812">
      <c r="A812" s="42"/>
      <c r="B812" s="57"/>
    </row>
    <row r="813">
      <c r="A813" s="42"/>
      <c r="B813" s="57"/>
    </row>
    <row r="814">
      <c r="A814" s="42"/>
      <c r="B814" s="57"/>
    </row>
    <row r="815">
      <c r="A815" s="42"/>
      <c r="B815" s="57"/>
    </row>
    <row r="816">
      <c r="A816" s="42"/>
      <c r="B816" s="57"/>
    </row>
    <row r="817">
      <c r="A817" s="42"/>
      <c r="B817" s="57"/>
    </row>
    <row r="818">
      <c r="A818" s="42"/>
      <c r="B818" s="57"/>
    </row>
    <row r="819">
      <c r="A819" s="42"/>
      <c r="B819" s="57"/>
    </row>
    <row r="820">
      <c r="A820" s="42"/>
      <c r="B820" s="57"/>
    </row>
    <row r="821">
      <c r="A821" s="42"/>
      <c r="B821" s="57"/>
    </row>
    <row r="822">
      <c r="A822" s="42"/>
      <c r="B822" s="57"/>
    </row>
    <row r="823">
      <c r="A823" s="42"/>
      <c r="B823" s="57"/>
    </row>
    <row r="824">
      <c r="A824" s="42"/>
      <c r="B824" s="57"/>
    </row>
    <row r="825">
      <c r="A825" s="42"/>
      <c r="B825" s="57"/>
    </row>
    <row r="826">
      <c r="A826" s="42"/>
      <c r="B826" s="57"/>
    </row>
    <row r="827">
      <c r="A827" s="42"/>
      <c r="B827" s="57"/>
    </row>
    <row r="828">
      <c r="A828" s="42"/>
      <c r="B828" s="57"/>
    </row>
    <row r="829">
      <c r="A829" s="42"/>
      <c r="B829" s="57"/>
    </row>
    <row r="830">
      <c r="A830" s="42"/>
      <c r="B830" s="57"/>
    </row>
    <row r="831">
      <c r="A831" s="42"/>
      <c r="B831" s="57"/>
    </row>
    <row r="832">
      <c r="A832" s="42"/>
      <c r="B832" s="57"/>
    </row>
    <row r="833">
      <c r="A833" s="42"/>
      <c r="B833" s="57"/>
    </row>
    <row r="834">
      <c r="A834" s="42"/>
      <c r="B834" s="57"/>
    </row>
    <row r="835">
      <c r="A835" s="42"/>
      <c r="B835" s="57"/>
    </row>
    <row r="836">
      <c r="A836" s="42"/>
      <c r="B836" s="57"/>
    </row>
    <row r="837">
      <c r="A837" s="42"/>
      <c r="B837" s="57"/>
    </row>
    <row r="838">
      <c r="A838" s="42"/>
      <c r="B838" s="57"/>
    </row>
    <row r="839">
      <c r="A839" s="42"/>
      <c r="B839" s="57"/>
    </row>
    <row r="840">
      <c r="A840" s="42"/>
      <c r="B840" s="57"/>
    </row>
    <row r="841">
      <c r="A841" s="42"/>
      <c r="B841" s="57"/>
    </row>
    <row r="842">
      <c r="A842" s="42"/>
      <c r="B842" s="57"/>
    </row>
    <row r="843">
      <c r="A843" s="42"/>
      <c r="B843" s="57"/>
    </row>
    <row r="844">
      <c r="A844" s="42"/>
      <c r="B844" s="57"/>
    </row>
    <row r="845">
      <c r="A845" s="42"/>
      <c r="B845" s="57"/>
    </row>
    <row r="846">
      <c r="A846" s="42"/>
      <c r="B846" s="57"/>
    </row>
    <row r="847">
      <c r="A847" s="42"/>
      <c r="B847" s="57"/>
    </row>
    <row r="848">
      <c r="A848" s="42"/>
      <c r="B848" s="57"/>
    </row>
    <row r="849">
      <c r="A849" s="42"/>
      <c r="B849" s="57"/>
    </row>
    <row r="850">
      <c r="A850" s="42"/>
      <c r="B850" s="57"/>
    </row>
    <row r="851">
      <c r="A851" s="42"/>
      <c r="B851" s="57"/>
    </row>
    <row r="852">
      <c r="A852" s="42"/>
      <c r="B852" s="57"/>
    </row>
    <row r="853">
      <c r="A853" s="42"/>
      <c r="B853" s="57"/>
    </row>
    <row r="854">
      <c r="A854" s="42"/>
      <c r="B854" s="57"/>
    </row>
    <row r="855">
      <c r="A855" s="42"/>
      <c r="B855" s="57"/>
    </row>
    <row r="856">
      <c r="A856" s="42"/>
      <c r="B856" s="57"/>
    </row>
    <row r="857">
      <c r="A857" s="42"/>
      <c r="B857" s="57"/>
    </row>
    <row r="858">
      <c r="A858" s="42"/>
      <c r="B858" s="57"/>
    </row>
    <row r="859">
      <c r="A859" s="42"/>
      <c r="B859" s="57"/>
    </row>
    <row r="860">
      <c r="A860" s="42"/>
      <c r="B860" s="57"/>
    </row>
    <row r="861">
      <c r="A861" s="42"/>
      <c r="B861" s="57"/>
    </row>
    <row r="862">
      <c r="A862" s="42"/>
      <c r="B862" s="57"/>
    </row>
    <row r="863">
      <c r="A863" s="42"/>
      <c r="B863" s="57"/>
    </row>
    <row r="864">
      <c r="A864" s="42"/>
      <c r="B864" s="57"/>
    </row>
    <row r="865">
      <c r="A865" s="42"/>
      <c r="B865" s="57"/>
    </row>
    <row r="866">
      <c r="A866" s="42"/>
      <c r="B866" s="57"/>
    </row>
    <row r="867">
      <c r="A867" s="42"/>
      <c r="B867" s="57"/>
    </row>
    <row r="868">
      <c r="A868" s="42"/>
      <c r="B868" s="57"/>
    </row>
    <row r="869">
      <c r="A869" s="42"/>
      <c r="B869" s="57"/>
    </row>
    <row r="870">
      <c r="A870" s="42"/>
      <c r="B870" s="57"/>
    </row>
    <row r="871">
      <c r="A871" s="42"/>
      <c r="B871" s="57"/>
    </row>
    <row r="872">
      <c r="A872" s="42"/>
      <c r="B872" s="57"/>
    </row>
    <row r="873">
      <c r="A873" s="42"/>
      <c r="B873" s="57"/>
    </row>
    <row r="874">
      <c r="A874" s="42"/>
      <c r="B874" s="57"/>
    </row>
    <row r="875">
      <c r="A875" s="42"/>
      <c r="B875" s="57"/>
    </row>
    <row r="876">
      <c r="A876" s="42"/>
      <c r="B876" s="57"/>
    </row>
    <row r="877">
      <c r="A877" s="42"/>
      <c r="B877" s="57"/>
    </row>
    <row r="878">
      <c r="A878" s="42"/>
      <c r="B878" s="57"/>
    </row>
    <row r="879">
      <c r="A879" s="42"/>
      <c r="B879" s="57"/>
    </row>
    <row r="880">
      <c r="A880" s="42"/>
      <c r="B880" s="57"/>
    </row>
    <row r="881">
      <c r="A881" s="42"/>
      <c r="B881" s="57"/>
    </row>
    <row r="882">
      <c r="A882" s="42"/>
      <c r="B882" s="57"/>
    </row>
    <row r="883">
      <c r="A883" s="42"/>
      <c r="B883" s="57"/>
    </row>
    <row r="884">
      <c r="A884" s="42"/>
      <c r="B884" s="57"/>
    </row>
    <row r="885">
      <c r="A885" s="42"/>
      <c r="B885" s="57"/>
    </row>
    <row r="886">
      <c r="A886" s="42"/>
      <c r="B886" s="57"/>
    </row>
    <row r="887">
      <c r="A887" s="42"/>
      <c r="B887" s="57"/>
    </row>
    <row r="888">
      <c r="A888" s="42"/>
      <c r="B888" s="57"/>
    </row>
    <row r="889">
      <c r="A889" s="42"/>
      <c r="B889" s="57"/>
    </row>
    <row r="890">
      <c r="A890" s="42"/>
      <c r="B890" s="57"/>
    </row>
    <row r="891">
      <c r="A891" s="42"/>
      <c r="B891" s="57"/>
    </row>
    <row r="892">
      <c r="A892" s="42"/>
      <c r="B892" s="57"/>
    </row>
    <row r="893">
      <c r="A893" s="42"/>
      <c r="B893" s="57"/>
    </row>
    <row r="894">
      <c r="A894" s="42"/>
      <c r="B894" s="57"/>
    </row>
    <row r="895">
      <c r="A895" s="42"/>
      <c r="B895" s="57"/>
    </row>
    <row r="896">
      <c r="A896" s="42"/>
      <c r="B896" s="57"/>
    </row>
    <row r="897">
      <c r="A897" s="42"/>
      <c r="B897" s="57"/>
    </row>
    <row r="898">
      <c r="A898" s="42"/>
      <c r="B898" s="57"/>
    </row>
    <row r="899">
      <c r="A899" s="42"/>
      <c r="B899" s="57"/>
    </row>
    <row r="900">
      <c r="A900" s="42"/>
      <c r="B900" s="57"/>
    </row>
    <row r="901">
      <c r="A901" s="42"/>
      <c r="B901" s="57"/>
    </row>
    <row r="902">
      <c r="A902" s="42"/>
      <c r="B902" s="57"/>
    </row>
    <row r="903">
      <c r="A903" s="42"/>
      <c r="B903" s="57"/>
    </row>
    <row r="904">
      <c r="A904" s="42"/>
      <c r="B904" s="57"/>
    </row>
    <row r="905">
      <c r="A905" s="42"/>
      <c r="B905" s="57"/>
    </row>
    <row r="906">
      <c r="A906" s="42"/>
      <c r="B906" s="57"/>
    </row>
    <row r="907">
      <c r="A907" s="42"/>
      <c r="B907" s="57"/>
    </row>
    <row r="908">
      <c r="A908" s="42"/>
      <c r="B908" s="57"/>
    </row>
    <row r="909">
      <c r="A909" s="42"/>
      <c r="B909" s="57"/>
    </row>
    <row r="910">
      <c r="A910" s="42"/>
      <c r="B910" s="57"/>
    </row>
    <row r="911">
      <c r="A911" s="42"/>
      <c r="B911" s="57"/>
    </row>
    <row r="912">
      <c r="A912" s="42"/>
      <c r="B912" s="57"/>
    </row>
    <row r="913">
      <c r="A913" s="42"/>
      <c r="B913" s="57"/>
    </row>
    <row r="914">
      <c r="A914" s="42"/>
      <c r="B914" s="57"/>
    </row>
    <row r="915">
      <c r="A915" s="42"/>
      <c r="B915" s="57"/>
    </row>
    <row r="916">
      <c r="A916" s="42"/>
      <c r="B916" s="57"/>
    </row>
    <row r="917">
      <c r="A917" s="42"/>
      <c r="B917" s="57"/>
    </row>
    <row r="918">
      <c r="A918" s="42"/>
      <c r="B918" s="57"/>
    </row>
    <row r="919">
      <c r="A919" s="42"/>
      <c r="B919" s="57"/>
    </row>
    <row r="920">
      <c r="A920" s="42"/>
      <c r="B920" s="57"/>
    </row>
    <row r="921">
      <c r="A921" s="42"/>
      <c r="B921" s="57"/>
    </row>
    <row r="922">
      <c r="A922" s="42"/>
      <c r="B922" s="57"/>
    </row>
    <row r="923">
      <c r="A923" s="42"/>
      <c r="B923" s="57"/>
    </row>
    <row r="924">
      <c r="A924" s="42"/>
      <c r="B924" s="57"/>
    </row>
    <row r="925">
      <c r="A925" s="42"/>
      <c r="B925" s="57"/>
    </row>
    <row r="926">
      <c r="A926" s="42"/>
      <c r="B926" s="57"/>
    </row>
    <row r="927">
      <c r="A927" s="42"/>
      <c r="B927" s="57"/>
    </row>
    <row r="928">
      <c r="A928" s="42"/>
      <c r="B928" s="57"/>
    </row>
    <row r="929">
      <c r="A929" s="42"/>
      <c r="B929" s="57"/>
    </row>
    <row r="930">
      <c r="A930" s="42"/>
      <c r="B930" s="57"/>
    </row>
    <row r="931">
      <c r="A931" s="42"/>
      <c r="B931" s="57"/>
    </row>
    <row r="932">
      <c r="A932" s="42"/>
      <c r="B932" s="57"/>
    </row>
    <row r="933">
      <c r="A933" s="42"/>
      <c r="B933" s="57"/>
    </row>
    <row r="934">
      <c r="A934" s="42"/>
      <c r="B934" s="57"/>
    </row>
    <row r="935">
      <c r="A935" s="42"/>
      <c r="B935" s="57"/>
    </row>
    <row r="936">
      <c r="A936" s="42"/>
      <c r="B936" s="57"/>
    </row>
    <row r="937">
      <c r="A937" s="42"/>
      <c r="B937" s="57"/>
    </row>
    <row r="938">
      <c r="A938" s="42"/>
      <c r="B938" s="57"/>
    </row>
    <row r="939">
      <c r="A939" s="42"/>
      <c r="B939" s="57"/>
    </row>
    <row r="940">
      <c r="A940" s="42"/>
      <c r="B940" s="57"/>
    </row>
    <row r="941">
      <c r="A941" s="42"/>
      <c r="B941" s="57"/>
    </row>
    <row r="942">
      <c r="A942" s="42"/>
      <c r="B942" s="57"/>
    </row>
    <row r="943">
      <c r="A943" s="42"/>
      <c r="B943" s="57"/>
    </row>
    <row r="944">
      <c r="A944" s="42"/>
      <c r="B944" s="57"/>
    </row>
    <row r="945">
      <c r="A945" s="42"/>
      <c r="B945" s="57"/>
    </row>
    <row r="946">
      <c r="A946" s="42"/>
      <c r="B946" s="57"/>
    </row>
    <row r="947">
      <c r="A947" s="42"/>
      <c r="B947" s="57"/>
    </row>
    <row r="948">
      <c r="A948" s="42"/>
      <c r="B948" s="57"/>
    </row>
    <row r="949">
      <c r="A949" s="42"/>
      <c r="B949" s="57"/>
    </row>
    <row r="950">
      <c r="A950" s="42"/>
      <c r="B950" s="57"/>
    </row>
    <row r="951">
      <c r="A951" s="42"/>
      <c r="B951" s="57"/>
    </row>
    <row r="952">
      <c r="A952" s="42"/>
      <c r="B952" s="57"/>
    </row>
    <row r="953">
      <c r="A953" s="42"/>
      <c r="B953" s="57"/>
    </row>
    <row r="954">
      <c r="A954" s="42"/>
      <c r="B954" s="57"/>
    </row>
    <row r="955">
      <c r="A955" s="42"/>
      <c r="B955" s="57"/>
    </row>
    <row r="956">
      <c r="A956" s="42"/>
      <c r="B956" s="57"/>
    </row>
    <row r="957">
      <c r="A957" s="42"/>
      <c r="B957" s="57"/>
    </row>
    <row r="958">
      <c r="A958" s="42"/>
      <c r="B958" s="57"/>
    </row>
    <row r="959">
      <c r="A959" s="42"/>
      <c r="B959" s="57"/>
    </row>
    <row r="960">
      <c r="A960" s="42"/>
      <c r="B960" s="57"/>
    </row>
    <row r="961">
      <c r="A961" s="42"/>
      <c r="B961" s="57"/>
    </row>
    <row r="962">
      <c r="A962" s="42"/>
      <c r="B962" s="57"/>
    </row>
    <row r="963">
      <c r="A963" s="42"/>
      <c r="B963" s="57"/>
    </row>
    <row r="964">
      <c r="A964" s="42"/>
      <c r="B964" s="57"/>
    </row>
    <row r="965">
      <c r="A965" s="42"/>
      <c r="B965" s="57"/>
    </row>
    <row r="966">
      <c r="A966" s="42"/>
      <c r="B966" s="57"/>
    </row>
    <row r="967">
      <c r="A967" s="42"/>
      <c r="B967" s="57"/>
    </row>
    <row r="968">
      <c r="A968" s="42"/>
      <c r="B968" s="57"/>
    </row>
    <row r="969">
      <c r="A969" s="42"/>
      <c r="B969" s="57"/>
    </row>
    <row r="970">
      <c r="A970" s="42"/>
      <c r="B970" s="57"/>
    </row>
    <row r="971">
      <c r="A971" s="42"/>
      <c r="B971" s="57"/>
    </row>
    <row r="972">
      <c r="A972" s="42"/>
      <c r="B972" s="57"/>
    </row>
    <row r="973">
      <c r="A973" s="42"/>
      <c r="B973" s="57"/>
    </row>
    <row r="974">
      <c r="A974" s="42"/>
      <c r="B974" s="57"/>
    </row>
    <row r="975">
      <c r="A975" s="42"/>
      <c r="B975" s="57"/>
    </row>
    <row r="976">
      <c r="A976" s="42"/>
      <c r="B976" s="57"/>
    </row>
    <row r="977">
      <c r="A977" s="42"/>
      <c r="B977" s="57"/>
    </row>
    <row r="978">
      <c r="A978" s="42"/>
      <c r="B978" s="57"/>
    </row>
    <row r="979">
      <c r="A979" s="42"/>
      <c r="B979" s="57"/>
    </row>
    <row r="980">
      <c r="A980" s="42"/>
      <c r="B980" s="57"/>
    </row>
    <row r="981">
      <c r="A981" s="42"/>
      <c r="B981" s="57"/>
    </row>
    <row r="982">
      <c r="A982" s="42"/>
      <c r="B982" s="57"/>
    </row>
    <row r="983">
      <c r="A983" s="42"/>
      <c r="B983" s="57"/>
    </row>
    <row r="984">
      <c r="A984" s="42"/>
      <c r="B984" s="57"/>
    </row>
    <row r="985">
      <c r="A985" s="42"/>
      <c r="B985" s="57"/>
    </row>
    <row r="986">
      <c r="A986" s="42"/>
      <c r="B986" s="57"/>
    </row>
    <row r="987">
      <c r="A987" s="42"/>
      <c r="B987" s="57"/>
    </row>
    <row r="988">
      <c r="A988" s="42"/>
      <c r="B988" s="57"/>
    </row>
    <row r="989">
      <c r="A989" s="42"/>
      <c r="B989" s="57"/>
    </row>
    <row r="990">
      <c r="A990" s="42"/>
      <c r="B990" s="57"/>
    </row>
    <row r="991">
      <c r="A991" s="42"/>
      <c r="B991" s="57"/>
    </row>
    <row r="992">
      <c r="A992" s="42"/>
      <c r="B992" s="57"/>
    </row>
    <row r="993">
      <c r="A993" s="42"/>
      <c r="B993" s="57"/>
    </row>
    <row r="994">
      <c r="A994" s="42"/>
      <c r="B994" s="57"/>
    </row>
    <row r="995">
      <c r="A995" s="42"/>
      <c r="B995" s="57"/>
    </row>
    <row r="996">
      <c r="A996" s="42"/>
      <c r="B996" s="57"/>
    </row>
    <row r="997">
      <c r="A997" s="42"/>
      <c r="B997" s="57"/>
    </row>
    <row r="998">
      <c r="A998" s="42"/>
      <c r="B998" s="57"/>
    </row>
    <row r="999">
      <c r="A999" s="42"/>
      <c r="B999" s="57"/>
    </row>
    <row r="1000">
      <c r="A1000" s="42"/>
      <c r="B1000" s="57"/>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15" t="s">
        <v>55</v>
      </c>
    </row>
    <row r="2">
      <c r="A2" s="8">
        <v>45986.0</v>
      </c>
      <c r="B2" s="6">
        <v>87342.0</v>
      </c>
      <c r="C2" s="29">
        <f>(B2-B3)/B3*100</f>
        <v>-1.052440779</v>
      </c>
    </row>
    <row r="3">
      <c r="A3" s="10">
        <v>45985.0</v>
      </c>
      <c r="B3" s="6">
        <v>88271.0</v>
      </c>
    </row>
    <row r="4">
      <c r="A4" s="11">
        <v>45984.0</v>
      </c>
      <c r="B4" s="12">
        <v>88859.0</v>
      </c>
    </row>
    <row r="5">
      <c r="A5" s="13">
        <v>45983.0</v>
      </c>
      <c r="B5" s="14">
        <v>84648.0</v>
      </c>
    </row>
    <row r="6">
      <c r="A6" s="13">
        <v>45982.0</v>
      </c>
      <c r="B6" s="14">
        <v>85091.0</v>
      </c>
    </row>
    <row r="7">
      <c r="A7" s="13">
        <v>45981.0</v>
      </c>
      <c r="B7" s="14">
        <v>86631.0</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1" t="s">
        <v>29</v>
      </c>
      <c r="B1" s="7" t="s">
        <v>3</v>
      </c>
      <c r="C1" s="7" t="s">
        <v>56</v>
      </c>
      <c r="D1" s="7" t="s">
        <v>57</v>
      </c>
    </row>
    <row r="2">
      <c r="A2" s="53">
        <v>45984.0</v>
      </c>
      <c r="B2" s="12">
        <v>88859.0</v>
      </c>
      <c r="C2" s="9">
        <f t="shared" ref="C2:C9" si="1">AVERAGE(B2:B9)</f>
        <v>89489.375</v>
      </c>
      <c r="D2" s="9">
        <f t="shared" ref="D2:D18" si="2">AVERAGE(B2:B4)</f>
        <v>86199.33333</v>
      </c>
    </row>
    <row r="3">
      <c r="A3" s="53">
        <v>45983.0</v>
      </c>
      <c r="B3" s="14">
        <v>84648.0</v>
      </c>
      <c r="C3" s="9">
        <f t="shared" si="1"/>
        <v>90325.625</v>
      </c>
      <c r="D3" s="9">
        <f t="shared" si="2"/>
        <v>85456.66667</v>
      </c>
    </row>
    <row r="4">
      <c r="A4" s="53">
        <v>45982.0</v>
      </c>
      <c r="B4" s="14">
        <v>85091.0</v>
      </c>
      <c r="C4" s="9">
        <f t="shared" si="1"/>
        <v>91544.375</v>
      </c>
      <c r="D4" s="9">
        <f t="shared" si="2"/>
        <v>87729.33333</v>
      </c>
    </row>
    <row r="5">
      <c r="A5" s="53">
        <v>45981.0</v>
      </c>
      <c r="B5" s="14">
        <v>86631.0</v>
      </c>
      <c r="C5" s="9">
        <f t="shared" si="1"/>
        <v>93370.125</v>
      </c>
      <c r="D5" s="9">
        <f t="shared" si="2"/>
        <v>90348.66667</v>
      </c>
    </row>
    <row r="6">
      <c r="A6" s="53">
        <v>45980.0</v>
      </c>
      <c r="B6" s="21">
        <v>91466.0</v>
      </c>
      <c r="C6" s="9">
        <f t="shared" si="1"/>
        <v>95249.125</v>
      </c>
      <c r="D6" s="9">
        <f t="shared" si="2"/>
        <v>92169.66667</v>
      </c>
    </row>
    <row r="7">
      <c r="A7" s="53">
        <v>45979.0</v>
      </c>
      <c r="B7" s="21">
        <v>92949.0</v>
      </c>
      <c r="C7" s="9">
        <f t="shared" si="1"/>
        <v>96690.5</v>
      </c>
      <c r="D7" s="9">
        <f t="shared" si="2"/>
        <v>93073.33333</v>
      </c>
    </row>
    <row r="8">
      <c r="A8" s="54">
        <v>45978.0</v>
      </c>
      <c r="B8" s="14">
        <v>92094.0</v>
      </c>
      <c r="C8" s="9">
        <f t="shared" si="1"/>
        <v>98321.5</v>
      </c>
      <c r="D8" s="9">
        <f t="shared" si="2"/>
        <v>93940</v>
      </c>
    </row>
    <row r="9">
      <c r="A9" s="54">
        <v>45977.0</v>
      </c>
      <c r="B9" s="23">
        <v>94177.0</v>
      </c>
      <c r="C9" s="9">
        <f t="shared" si="1"/>
        <v>99899.75</v>
      </c>
      <c r="D9" s="9">
        <f t="shared" si="2"/>
        <v>94708</v>
      </c>
    </row>
    <row r="10">
      <c r="A10" s="54">
        <v>45976.0</v>
      </c>
      <c r="B10" s="23">
        <v>95549.0</v>
      </c>
      <c r="C10" s="7" t="s">
        <v>56</v>
      </c>
      <c r="D10" s="9">
        <f t="shared" si="2"/>
        <v>96548</v>
      </c>
    </row>
    <row r="11">
      <c r="A11" s="54">
        <v>45975.0</v>
      </c>
      <c r="B11" s="23">
        <v>94398.0</v>
      </c>
      <c r="C11" s="9">
        <f t="shared" ref="C11:C18" si="3">AVERAGE(B11:B18)</f>
        <v>101890.75</v>
      </c>
      <c r="D11" s="9">
        <f t="shared" si="2"/>
        <v>98586</v>
      </c>
    </row>
    <row r="12">
      <c r="A12" s="54">
        <v>45974.0</v>
      </c>
      <c r="B12" s="23">
        <v>99697.0</v>
      </c>
      <c r="C12" s="9">
        <f t="shared" si="3"/>
        <v>102961.1429</v>
      </c>
      <c r="D12" s="9">
        <f t="shared" si="2"/>
        <v>101452.3333</v>
      </c>
    </row>
    <row r="13">
      <c r="A13" s="54">
        <v>45973.0</v>
      </c>
      <c r="B13" s="23">
        <v>101663.0</v>
      </c>
      <c r="C13" s="9">
        <f t="shared" si="3"/>
        <v>103505.1667</v>
      </c>
      <c r="D13" s="9">
        <f t="shared" si="2"/>
        <v>103552.3333</v>
      </c>
    </row>
    <row r="14">
      <c r="A14" s="54">
        <v>45972.0</v>
      </c>
      <c r="B14" s="23">
        <v>102997.0</v>
      </c>
      <c r="C14" s="9">
        <f t="shared" si="3"/>
        <v>103873.6</v>
      </c>
      <c r="D14" s="9">
        <f t="shared" si="2"/>
        <v>104571.3333</v>
      </c>
    </row>
    <row r="15">
      <c r="A15" s="54">
        <v>45971.0</v>
      </c>
      <c r="B15" s="23">
        <v>105997.0</v>
      </c>
      <c r="C15" s="9">
        <f t="shared" si="3"/>
        <v>104092.75</v>
      </c>
      <c r="D15" s="9">
        <f t="shared" si="2"/>
        <v>104333</v>
      </c>
    </row>
    <row r="16">
      <c r="A16" s="55">
        <v>45970.0</v>
      </c>
      <c r="B16" s="23">
        <v>104720.0</v>
      </c>
      <c r="C16" s="9">
        <f t="shared" si="3"/>
        <v>103458</v>
      </c>
      <c r="D16" s="9">
        <f t="shared" si="2"/>
        <v>103458</v>
      </c>
    </row>
    <row r="17">
      <c r="A17" s="55">
        <v>45969.0</v>
      </c>
      <c r="B17" s="23">
        <v>102282.0</v>
      </c>
      <c r="C17" s="9">
        <f t="shared" si="3"/>
        <v>102827</v>
      </c>
      <c r="D17" s="9">
        <f t="shared" si="2"/>
        <v>102827</v>
      </c>
    </row>
    <row r="18">
      <c r="A18" s="55">
        <v>45968.0</v>
      </c>
      <c r="B18" s="23">
        <v>103372.0</v>
      </c>
      <c r="C18" s="9">
        <f t="shared" si="3"/>
        <v>103372</v>
      </c>
      <c r="D18" s="9">
        <f t="shared" si="2"/>
        <v>103372</v>
      </c>
    </row>
    <row r="19">
      <c r="C19" s="7"/>
    </row>
    <row r="20">
      <c r="B20" s="42"/>
    </row>
    <row r="21">
      <c r="B21" s="42"/>
    </row>
    <row r="22">
      <c r="B22" s="42"/>
    </row>
    <row r="23">
      <c r="B23" s="42"/>
      <c r="C23" s="9"/>
      <c r="D23" s="7" t="s">
        <v>58</v>
      </c>
    </row>
    <row r="24">
      <c r="B24" s="42"/>
      <c r="D24" s="9"/>
    </row>
    <row r="25">
      <c r="B25" s="42"/>
      <c r="D25" s="7" t="s">
        <v>59</v>
      </c>
    </row>
    <row r="26">
      <c r="B26" s="42"/>
      <c r="D26" s="9"/>
    </row>
    <row r="27">
      <c r="B27" s="42"/>
      <c r="D27" s="9"/>
    </row>
    <row r="28">
      <c r="B28" s="42"/>
      <c r="D28" s="9"/>
    </row>
    <row r="29">
      <c r="B29" s="42"/>
      <c r="D29" s="9"/>
    </row>
    <row r="30">
      <c r="B30" s="42"/>
      <c r="D30" s="9"/>
    </row>
    <row r="31">
      <c r="B31" s="42"/>
      <c r="D31" s="9"/>
    </row>
    <row r="32">
      <c r="B32" s="42"/>
      <c r="D32" s="9"/>
    </row>
    <row r="33">
      <c r="B33" s="42"/>
      <c r="D33" s="9"/>
    </row>
    <row r="34">
      <c r="B34" s="42"/>
      <c r="D34" s="9"/>
    </row>
    <row r="35">
      <c r="B35" s="42"/>
      <c r="D35" s="9"/>
    </row>
    <row r="36">
      <c r="B36" s="42"/>
      <c r="D36" s="9"/>
    </row>
    <row r="37">
      <c r="B37" s="42"/>
      <c r="D37" s="9"/>
    </row>
    <row r="38">
      <c r="B38" s="42"/>
      <c r="D38" s="9"/>
    </row>
    <row r="39">
      <c r="B39" s="42"/>
      <c r="D39" s="9"/>
    </row>
    <row r="40">
      <c r="B40" s="42"/>
      <c r="D40" s="9"/>
    </row>
    <row r="41">
      <c r="B41" s="42"/>
      <c r="D41" s="9"/>
    </row>
    <row r="42">
      <c r="B42" s="42"/>
      <c r="D42" s="9"/>
    </row>
    <row r="43">
      <c r="B43" s="42"/>
      <c r="D43" s="9"/>
    </row>
    <row r="44">
      <c r="B44" s="42"/>
      <c r="D44" s="9"/>
    </row>
    <row r="45">
      <c r="B45" s="42"/>
      <c r="D45" s="9"/>
    </row>
    <row r="46">
      <c r="B46" s="42"/>
      <c r="D46" s="9"/>
    </row>
    <row r="47">
      <c r="B47" s="42"/>
      <c r="D47" s="9"/>
    </row>
    <row r="48">
      <c r="B48" s="42"/>
      <c r="D48" s="9"/>
    </row>
    <row r="49">
      <c r="B49" s="42"/>
      <c r="D49" s="9"/>
    </row>
    <row r="50">
      <c r="B50" s="42"/>
      <c r="D50" s="9"/>
    </row>
    <row r="51">
      <c r="B51" s="42"/>
      <c r="D51" s="9"/>
    </row>
    <row r="52">
      <c r="B52" s="42"/>
      <c r="D52" s="9"/>
    </row>
    <row r="53">
      <c r="B53" s="42"/>
      <c r="D53" s="9"/>
    </row>
    <row r="54">
      <c r="B54" s="42"/>
      <c r="D54" s="9"/>
    </row>
    <row r="55">
      <c r="B55" s="42"/>
      <c r="D55" s="9"/>
    </row>
    <row r="56">
      <c r="B56" s="42"/>
      <c r="D56" s="9"/>
    </row>
    <row r="57">
      <c r="B57" s="42"/>
      <c r="D57" s="9"/>
    </row>
    <row r="58">
      <c r="B58" s="42"/>
      <c r="D58" s="9"/>
    </row>
    <row r="59">
      <c r="B59" s="42"/>
      <c r="D59" s="9"/>
    </row>
    <row r="60">
      <c r="B60" s="42"/>
      <c r="D60" s="9"/>
    </row>
    <row r="61">
      <c r="B61" s="42"/>
      <c r="D61" s="9"/>
    </row>
    <row r="62">
      <c r="B62" s="42"/>
      <c r="D62" s="9"/>
    </row>
    <row r="63">
      <c r="B63" s="42"/>
      <c r="D63" s="9"/>
    </row>
    <row r="64">
      <c r="B64" s="42"/>
      <c r="D64" s="9"/>
    </row>
    <row r="65">
      <c r="B65" s="42"/>
      <c r="D65" s="9"/>
    </row>
    <row r="66">
      <c r="B66" s="42"/>
      <c r="D66" s="9"/>
    </row>
    <row r="67">
      <c r="B67" s="42"/>
      <c r="D67" s="9"/>
    </row>
    <row r="68">
      <c r="B68" s="42"/>
      <c r="D68" s="9"/>
    </row>
    <row r="69">
      <c r="B69" s="42"/>
      <c r="D69" s="9"/>
    </row>
    <row r="70">
      <c r="B70" s="42"/>
      <c r="D70" s="9"/>
    </row>
    <row r="71">
      <c r="B71" s="42"/>
      <c r="D71" s="9"/>
    </row>
    <row r="72">
      <c r="B72" s="42"/>
      <c r="D72" s="9"/>
    </row>
    <row r="73">
      <c r="B73" s="42"/>
      <c r="D73" s="9"/>
    </row>
    <row r="74">
      <c r="B74" s="42"/>
      <c r="D74" s="9"/>
    </row>
    <row r="75">
      <c r="B75" s="42"/>
      <c r="D75" s="9"/>
    </row>
    <row r="76">
      <c r="B76" s="42"/>
      <c r="D76" s="9"/>
    </row>
    <row r="77">
      <c r="B77" s="42"/>
      <c r="D77" s="9"/>
    </row>
    <row r="78">
      <c r="B78" s="42"/>
      <c r="D78" s="9"/>
    </row>
    <row r="79">
      <c r="B79" s="42"/>
      <c r="D79" s="9"/>
    </row>
    <row r="80">
      <c r="B80" s="42"/>
      <c r="D80" s="9"/>
    </row>
    <row r="81">
      <c r="B81" s="42"/>
      <c r="D81" s="9"/>
    </row>
    <row r="82">
      <c r="B82" s="42"/>
      <c r="D82" s="9"/>
    </row>
    <row r="83">
      <c r="B83" s="42"/>
      <c r="D83" s="9"/>
    </row>
    <row r="84">
      <c r="B84" s="42"/>
      <c r="D84" s="9"/>
    </row>
    <row r="85">
      <c r="B85" s="42"/>
      <c r="D85" s="9"/>
    </row>
    <row r="86">
      <c r="B86" s="42"/>
      <c r="D86" s="9"/>
    </row>
    <row r="87">
      <c r="B87" s="42"/>
      <c r="D87" s="9"/>
    </row>
    <row r="88">
      <c r="B88" s="42"/>
      <c r="D88" s="9"/>
    </row>
    <row r="89">
      <c r="B89" s="42"/>
      <c r="D89" s="9"/>
    </row>
    <row r="90">
      <c r="B90" s="42"/>
      <c r="D90" s="9"/>
    </row>
    <row r="91">
      <c r="B91" s="42"/>
      <c r="D91" s="9"/>
    </row>
    <row r="92">
      <c r="B92" s="42"/>
      <c r="D92" s="9"/>
    </row>
    <row r="93">
      <c r="B93" s="42"/>
      <c r="D93" s="9"/>
    </row>
    <row r="94">
      <c r="B94" s="42"/>
      <c r="D94" s="9"/>
    </row>
    <row r="95">
      <c r="B95" s="42"/>
      <c r="D95" s="9"/>
    </row>
    <row r="96">
      <c r="B96" s="42"/>
      <c r="D96" s="9"/>
    </row>
    <row r="97">
      <c r="B97" s="42"/>
      <c r="D97" s="9"/>
    </row>
    <row r="98">
      <c r="B98" s="42"/>
      <c r="D98" s="9"/>
    </row>
    <row r="99">
      <c r="B99" s="42"/>
      <c r="D99" s="9"/>
    </row>
    <row r="100">
      <c r="B100" s="42"/>
      <c r="D100" s="9"/>
    </row>
    <row r="101">
      <c r="B101" s="42"/>
      <c r="D101" s="9"/>
    </row>
    <row r="102">
      <c r="B102" s="42"/>
      <c r="D102" s="9"/>
    </row>
    <row r="103">
      <c r="B103" s="42"/>
      <c r="D103" s="9"/>
    </row>
    <row r="104">
      <c r="B104" s="42"/>
      <c r="D104" s="9"/>
    </row>
    <row r="105">
      <c r="B105" s="42"/>
      <c r="D105" s="9"/>
    </row>
    <row r="106">
      <c r="B106" s="42"/>
      <c r="D106" s="9"/>
    </row>
    <row r="107">
      <c r="B107" s="42"/>
      <c r="D107" s="9"/>
    </row>
    <row r="108">
      <c r="B108" s="42"/>
      <c r="D108" s="9"/>
    </row>
    <row r="109">
      <c r="B109" s="42"/>
      <c r="D109" s="9"/>
    </row>
    <row r="110">
      <c r="B110" s="42"/>
      <c r="D110" s="9"/>
    </row>
    <row r="111">
      <c r="B111" s="42"/>
      <c r="D111" s="9"/>
    </row>
    <row r="112">
      <c r="B112" s="42"/>
      <c r="D112" s="9"/>
    </row>
    <row r="113">
      <c r="B113" s="42"/>
      <c r="D113" s="9"/>
    </row>
    <row r="114">
      <c r="B114" s="42"/>
      <c r="D114" s="9"/>
    </row>
    <row r="115">
      <c r="B115" s="42"/>
      <c r="D115" s="9"/>
    </row>
    <row r="116">
      <c r="B116" s="42"/>
      <c r="D116" s="9"/>
    </row>
    <row r="117">
      <c r="B117" s="42"/>
      <c r="D117" s="9"/>
    </row>
    <row r="118">
      <c r="B118" s="42"/>
      <c r="D118" s="9"/>
    </row>
    <row r="119">
      <c r="B119" s="42"/>
      <c r="D119" s="9"/>
    </row>
    <row r="120">
      <c r="B120" s="42"/>
      <c r="D120" s="9"/>
    </row>
    <row r="121">
      <c r="B121" s="42"/>
      <c r="D121" s="9"/>
    </row>
    <row r="122">
      <c r="B122" s="42"/>
      <c r="D122" s="9"/>
    </row>
    <row r="123">
      <c r="B123" s="42"/>
      <c r="D123" s="9"/>
    </row>
    <row r="124">
      <c r="B124" s="42"/>
      <c r="D124" s="9"/>
    </row>
    <row r="125">
      <c r="B125" s="42"/>
      <c r="D125" s="9"/>
    </row>
    <row r="126">
      <c r="B126" s="42"/>
      <c r="D126" s="9"/>
    </row>
    <row r="127">
      <c r="B127" s="42"/>
      <c r="D127" s="9"/>
    </row>
    <row r="128">
      <c r="B128" s="42"/>
      <c r="D128" s="9"/>
    </row>
    <row r="129">
      <c r="B129" s="42"/>
      <c r="D129" s="9"/>
    </row>
    <row r="130">
      <c r="B130" s="42"/>
      <c r="D130" s="9"/>
    </row>
    <row r="131">
      <c r="B131" s="42"/>
      <c r="D131" s="9"/>
    </row>
    <row r="132">
      <c r="B132" s="42"/>
      <c r="D132" s="9"/>
    </row>
    <row r="133">
      <c r="B133" s="42"/>
      <c r="D133" s="9"/>
    </row>
    <row r="134">
      <c r="B134" s="42"/>
      <c r="D134" s="9"/>
    </row>
    <row r="135">
      <c r="B135" s="42"/>
      <c r="D135" s="9"/>
    </row>
    <row r="136">
      <c r="B136" s="42"/>
      <c r="D136" s="9"/>
    </row>
    <row r="137">
      <c r="B137" s="42"/>
      <c r="D137" s="9"/>
    </row>
    <row r="138">
      <c r="B138" s="42"/>
      <c r="D138" s="9"/>
    </row>
    <row r="139">
      <c r="B139" s="42"/>
      <c r="D139" s="9"/>
    </row>
    <row r="140">
      <c r="B140" s="42"/>
      <c r="D140" s="9"/>
    </row>
    <row r="141">
      <c r="B141" s="42"/>
      <c r="D141" s="9"/>
    </row>
    <row r="142">
      <c r="B142" s="42"/>
      <c r="D142" s="9"/>
    </row>
    <row r="143">
      <c r="B143" s="42"/>
      <c r="D143" s="9"/>
    </row>
    <row r="144">
      <c r="B144" s="42"/>
      <c r="D144" s="9"/>
    </row>
    <row r="145">
      <c r="B145" s="42"/>
      <c r="D145" s="9"/>
    </row>
    <row r="146">
      <c r="B146" s="42"/>
      <c r="D146" s="9"/>
    </row>
    <row r="147">
      <c r="B147" s="42"/>
      <c r="D147" s="9"/>
    </row>
    <row r="148">
      <c r="B148" s="42"/>
      <c r="D148" s="9"/>
    </row>
    <row r="149">
      <c r="B149" s="42"/>
      <c r="D149" s="9"/>
    </row>
    <row r="150">
      <c r="B150" s="42"/>
      <c r="D150" s="9"/>
    </row>
    <row r="151">
      <c r="B151" s="42"/>
      <c r="D151" s="9"/>
    </row>
    <row r="152">
      <c r="B152" s="42"/>
      <c r="D152" s="9"/>
    </row>
    <row r="153">
      <c r="B153" s="42"/>
      <c r="D153" s="9"/>
    </row>
    <row r="154">
      <c r="B154" s="42"/>
      <c r="D154" s="9"/>
    </row>
    <row r="155">
      <c r="B155" s="42"/>
      <c r="D155" s="9"/>
    </row>
    <row r="156">
      <c r="B156" s="42"/>
      <c r="D156" s="9"/>
    </row>
    <row r="157">
      <c r="B157" s="42"/>
      <c r="D157" s="9"/>
    </row>
    <row r="158">
      <c r="B158" s="42"/>
      <c r="D158" s="9"/>
    </row>
    <row r="159">
      <c r="B159" s="42"/>
      <c r="D159" s="9"/>
    </row>
    <row r="160">
      <c r="B160" s="42"/>
      <c r="D160" s="9"/>
    </row>
    <row r="161">
      <c r="B161" s="42"/>
      <c r="D161" s="9"/>
    </row>
    <row r="162">
      <c r="B162" s="42"/>
      <c r="D162" s="9"/>
    </row>
    <row r="163">
      <c r="B163" s="42"/>
      <c r="D163" s="9"/>
    </row>
    <row r="164">
      <c r="B164" s="42"/>
      <c r="D164" s="9"/>
    </row>
    <row r="165">
      <c r="B165" s="42"/>
      <c r="D165" s="9"/>
    </row>
    <row r="166">
      <c r="B166" s="42"/>
      <c r="D166" s="9"/>
    </row>
    <row r="167">
      <c r="B167" s="42"/>
      <c r="D167" s="9"/>
    </row>
    <row r="168">
      <c r="B168" s="42"/>
      <c r="D168" s="9"/>
    </row>
    <row r="169">
      <c r="B169" s="42"/>
      <c r="D169" s="9"/>
    </row>
    <row r="170">
      <c r="B170" s="42"/>
      <c r="D170" s="9"/>
    </row>
    <row r="171">
      <c r="B171" s="42"/>
      <c r="D171" s="9"/>
    </row>
    <row r="172">
      <c r="B172" s="42"/>
      <c r="D172" s="9"/>
    </row>
    <row r="173">
      <c r="B173" s="42"/>
      <c r="D173" s="9"/>
    </row>
    <row r="174">
      <c r="B174" s="42"/>
      <c r="D174" s="9"/>
    </row>
    <row r="175">
      <c r="B175" s="42"/>
      <c r="D175" s="9"/>
    </row>
    <row r="176">
      <c r="B176" s="42"/>
      <c r="D176" s="9"/>
    </row>
    <row r="177">
      <c r="B177" s="42"/>
      <c r="D177" s="9"/>
    </row>
    <row r="178">
      <c r="B178" s="42"/>
      <c r="D178" s="9"/>
    </row>
    <row r="179">
      <c r="B179" s="42"/>
      <c r="D179" s="9"/>
    </row>
    <row r="180">
      <c r="B180" s="42"/>
      <c r="D180" s="9"/>
    </row>
    <row r="181">
      <c r="B181" s="42"/>
      <c r="D181" s="9"/>
    </row>
    <row r="182">
      <c r="B182" s="42"/>
      <c r="D182" s="9"/>
    </row>
    <row r="183">
      <c r="B183" s="42"/>
      <c r="D183" s="9"/>
    </row>
    <row r="184">
      <c r="B184" s="42"/>
      <c r="D184" s="9"/>
    </row>
    <row r="185">
      <c r="B185" s="42"/>
      <c r="D185" s="9"/>
    </row>
    <row r="186">
      <c r="B186" s="42"/>
      <c r="D186" s="9"/>
    </row>
    <row r="187">
      <c r="B187" s="42"/>
      <c r="D187" s="9"/>
    </row>
    <row r="188">
      <c r="B188" s="42"/>
      <c r="D188" s="9"/>
    </row>
    <row r="189">
      <c r="B189" s="42"/>
      <c r="D189" s="9"/>
    </row>
    <row r="190">
      <c r="B190" s="42"/>
      <c r="D190" s="9"/>
    </row>
    <row r="191">
      <c r="B191" s="42"/>
      <c r="D191" s="9"/>
    </row>
    <row r="192">
      <c r="B192" s="42"/>
      <c r="D192" s="9"/>
    </row>
    <row r="193">
      <c r="B193" s="42"/>
      <c r="D193" s="9"/>
    </row>
    <row r="194">
      <c r="B194" s="42"/>
      <c r="D194" s="9"/>
    </row>
    <row r="195">
      <c r="B195" s="42"/>
      <c r="D195" s="9"/>
    </row>
    <row r="196">
      <c r="B196" s="42"/>
      <c r="D196" s="9"/>
    </row>
    <row r="197">
      <c r="B197" s="42"/>
      <c r="D197" s="9"/>
    </row>
    <row r="198">
      <c r="B198" s="42"/>
      <c r="D198" s="9"/>
    </row>
    <row r="199">
      <c r="B199" s="42"/>
      <c r="D199" s="9"/>
    </row>
    <row r="200">
      <c r="B200" s="42"/>
      <c r="D200" s="9"/>
    </row>
    <row r="201">
      <c r="B201" s="42"/>
      <c r="D201" s="9"/>
    </row>
    <row r="202">
      <c r="B202" s="42"/>
      <c r="D202" s="9"/>
    </row>
    <row r="203">
      <c r="B203" s="42"/>
      <c r="D203" s="9"/>
    </row>
    <row r="204">
      <c r="B204" s="42"/>
      <c r="D204" s="9"/>
    </row>
    <row r="205">
      <c r="B205" s="42"/>
      <c r="D205" s="9"/>
    </row>
    <row r="206">
      <c r="B206" s="42"/>
      <c r="D206" s="9"/>
    </row>
    <row r="207">
      <c r="B207" s="42"/>
      <c r="D207" s="9"/>
    </row>
    <row r="208">
      <c r="B208" s="42"/>
      <c r="D208" s="9"/>
    </row>
    <row r="209">
      <c r="B209" s="42"/>
      <c r="D209" s="9"/>
    </row>
    <row r="210">
      <c r="B210" s="42"/>
      <c r="D210" s="9"/>
    </row>
    <row r="211">
      <c r="B211" s="42"/>
      <c r="D211" s="9"/>
    </row>
    <row r="212">
      <c r="B212" s="42"/>
      <c r="D212" s="9"/>
    </row>
    <row r="213">
      <c r="B213" s="42"/>
      <c r="D213" s="9"/>
    </row>
    <row r="214">
      <c r="B214" s="42"/>
      <c r="D214" s="9"/>
    </row>
    <row r="215">
      <c r="B215" s="42"/>
      <c r="D215" s="9"/>
    </row>
    <row r="216">
      <c r="B216" s="42"/>
      <c r="D216" s="9"/>
    </row>
    <row r="217">
      <c r="B217" s="42"/>
      <c r="D217" s="9"/>
    </row>
    <row r="218">
      <c r="B218" s="42"/>
      <c r="D218" s="9"/>
    </row>
    <row r="219">
      <c r="B219" s="42"/>
      <c r="D219" s="9"/>
    </row>
    <row r="220">
      <c r="B220" s="42"/>
      <c r="D220" s="9"/>
    </row>
    <row r="221">
      <c r="B221" s="42"/>
      <c r="D221" s="9"/>
    </row>
    <row r="222">
      <c r="B222" s="42"/>
      <c r="D222" s="9"/>
    </row>
    <row r="223">
      <c r="B223" s="42"/>
      <c r="D223" s="9"/>
    </row>
    <row r="224">
      <c r="B224" s="42"/>
      <c r="D224" s="9"/>
    </row>
    <row r="225">
      <c r="B225" s="42"/>
      <c r="D225" s="9"/>
    </row>
    <row r="226">
      <c r="B226" s="42"/>
      <c r="D226" s="9"/>
    </row>
    <row r="227">
      <c r="B227" s="42"/>
      <c r="D227" s="9"/>
    </row>
    <row r="228">
      <c r="B228" s="42"/>
      <c r="D228" s="9"/>
    </row>
    <row r="229">
      <c r="B229" s="42"/>
      <c r="D229" s="9"/>
    </row>
    <row r="230">
      <c r="B230" s="42"/>
      <c r="D230" s="9"/>
    </row>
    <row r="231">
      <c r="B231" s="42"/>
      <c r="D231" s="9"/>
    </row>
    <row r="232">
      <c r="B232" s="42"/>
      <c r="D232" s="9"/>
    </row>
    <row r="233">
      <c r="B233" s="42"/>
      <c r="D233" s="9"/>
    </row>
    <row r="234">
      <c r="B234" s="42"/>
      <c r="D234" s="9"/>
    </row>
    <row r="235">
      <c r="B235" s="42"/>
      <c r="D235" s="9"/>
    </row>
    <row r="236">
      <c r="B236" s="42"/>
      <c r="D236" s="9"/>
    </row>
    <row r="237">
      <c r="B237" s="42"/>
      <c r="D237" s="9"/>
    </row>
    <row r="238">
      <c r="B238" s="42"/>
      <c r="D238" s="9"/>
    </row>
    <row r="239">
      <c r="B239" s="42"/>
      <c r="D239" s="9"/>
    </row>
    <row r="240">
      <c r="B240" s="42"/>
      <c r="D240" s="9"/>
    </row>
    <row r="241">
      <c r="B241" s="42"/>
      <c r="D241" s="9"/>
    </row>
    <row r="242">
      <c r="B242" s="42"/>
      <c r="D242" s="9"/>
    </row>
    <row r="243">
      <c r="B243" s="42"/>
      <c r="D243" s="9"/>
    </row>
    <row r="244">
      <c r="B244" s="42"/>
      <c r="D244" s="9"/>
    </row>
    <row r="245">
      <c r="B245" s="42"/>
      <c r="D245" s="9"/>
    </row>
    <row r="246">
      <c r="B246" s="42"/>
      <c r="D246" s="9"/>
    </row>
    <row r="247">
      <c r="B247" s="42"/>
      <c r="D247" s="9"/>
    </row>
    <row r="248">
      <c r="B248" s="42"/>
      <c r="D248" s="9"/>
    </row>
    <row r="249">
      <c r="B249" s="42"/>
      <c r="D249" s="9"/>
    </row>
    <row r="250">
      <c r="B250" s="42"/>
      <c r="D250" s="9"/>
    </row>
    <row r="251">
      <c r="B251" s="42"/>
      <c r="D251" s="9"/>
    </row>
    <row r="252">
      <c r="B252" s="42"/>
      <c r="D252" s="9"/>
    </row>
    <row r="253">
      <c r="B253" s="42"/>
      <c r="D253" s="9"/>
    </row>
    <row r="254">
      <c r="B254" s="42"/>
      <c r="D254" s="9"/>
    </row>
    <row r="255">
      <c r="B255" s="42"/>
      <c r="D255" s="9"/>
    </row>
    <row r="256">
      <c r="B256" s="42"/>
      <c r="D256" s="9"/>
    </row>
    <row r="257">
      <c r="B257" s="42"/>
      <c r="D257" s="9"/>
    </row>
    <row r="258">
      <c r="B258" s="42"/>
      <c r="D258" s="9"/>
    </row>
    <row r="259">
      <c r="B259" s="42"/>
      <c r="D259" s="9"/>
    </row>
    <row r="260">
      <c r="B260" s="42"/>
      <c r="D260" s="9"/>
    </row>
    <row r="261">
      <c r="B261" s="42"/>
      <c r="D261" s="9"/>
    </row>
    <row r="262">
      <c r="B262" s="42"/>
      <c r="D262" s="9"/>
    </row>
    <row r="263">
      <c r="B263" s="42"/>
      <c r="D263" s="9"/>
    </row>
    <row r="264">
      <c r="B264" s="42"/>
      <c r="D264" s="9"/>
    </row>
    <row r="265">
      <c r="B265" s="42"/>
      <c r="D265" s="9"/>
    </row>
    <row r="266">
      <c r="B266" s="42"/>
      <c r="D266" s="9"/>
    </row>
    <row r="267">
      <c r="B267" s="42"/>
      <c r="D267" s="9"/>
    </row>
    <row r="268">
      <c r="B268" s="42"/>
      <c r="D268" s="9"/>
    </row>
    <row r="269">
      <c r="B269" s="42"/>
      <c r="D269" s="9"/>
    </row>
    <row r="270">
      <c r="B270" s="42"/>
      <c r="D270" s="9"/>
    </row>
    <row r="271">
      <c r="B271" s="42"/>
      <c r="D271" s="9"/>
    </row>
    <row r="272">
      <c r="B272" s="42"/>
      <c r="D272" s="9"/>
    </row>
    <row r="273">
      <c r="B273" s="42"/>
      <c r="D273" s="9"/>
    </row>
    <row r="274">
      <c r="B274" s="42"/>
      <c r="D274" s="9"/>
    </row>
    <row r="275">
      <c r="B275" s="42"/>
      <c r="D275" s="9"/>
    </row>
    <row r="276">
      <c r="B276" s="42"/>
      <c r="D276" s="9"/>
    </row>
    <row r="277">
      <c r="B277" s="42"/>
      <c r="D277" s="9"/>
    </row>
    <row r="278">
      <c r="B278" s="42"/>
      <c r="D278" s="9"/>
    </row>
    <row r="279">
      <c r="B279" s="42"/>
      <c r="D279" s="9"/>
    </row>
    <row r="280">
      <c r="B280" s="42"/>
      <c r="D280" s="9"/>
    </row>
    <row r="281">
      <c r="B281" s="42"/>
      <c r="D281" s="9"/>
    </row>
    <row r="282">
      <c r="B282" s="42"/>
      <c r="D282" s="9"/>
    </row>
    <row r="283">
      <c r="B283" s="42"/>
      <c r="D283" s="9"/>
    </row>
    <row r="284">
      <c r="B284" s="42"/>
      <c r="D284" s="9"/>
    </row>
    <row r="285">
      <c r="B285" s="42"/>
      <c r="D285" s="9"/>
    </row>
    <row r="286">
      <c r="B286" s="42"/>
      <c r="D286" s="9"/>
    </row>
    <row r="287">
      <c r="B287" s="42"/>
      <c r="D287" s="9"/>
    </row>
    <row r="288">
      <c r="B288" s="42"/>
      <c r="D288" s="9"/>
    </row>
    <row r="289">
      <c r="B289" s="42"/>
      <c r="D289" s="9"/>
    </row>
    <row r="290">
      <c r="B290" s="42"/>
      <c r="D290" s="9"/>
    </row>
    <row r="291">
      <c r="B291" s="42"/>
      <c r="D291" s="9"/>
    </row>
    <row r="292">
      <c r="B292" s="42"/>
      <c r="D292" s="9"/>
    </row>
    <row r="293">
      <c r="B293" s="42"/>
      <c r="D293" s="9"/>
    </row>
    <row r="294">
      <c r="B294" s="42"/>
      <c r="D294" s="9"/>
    </row>
    <row r="295">
      <c r="B295" s="42"/>
      <c r="D295" s="9"/>
    </row>
    <row r="296">
      <c r="B296" s="42"/>
      <c r="D296" s="9"/>
    </row>
    <row r="297">
      <c r="B297" s="42"/>
      <c r="D297" s="9"/>
    </row>
    <row r="298">
      <c r="B298" s="42"/>
      <c r="D298" s="9"/>
    </row>
    <row r="299">
      <c r="B299" s="42"/>
      <c r="D299" s="9"/>
    </row>
    <row r="300">
      <c r="B300" s="42"/>
      <c r="D300" s="9"/>
    </row>
    <row r="301">
      <c r="B301" s="42"/>
      <c r="D301" s="9"/>
    </row>
    <row r="302">
      <c r="B302" s="42"/>
      <c r="D302" s="9"/>
    </row>
    <row r="303">
      <c r="B303" s="42"/>
      <c r="D303" s="9"/>
    </row>
    <row r="304">
      <c r="B304" s="42"/>
      <c r="D304" s="9"/>
    </row>
    <row r="305">
      <c r="B305" s="42"/>
      <c r="D305" s="9"/>
    </row>
    <row r="306">
      <c r="B306" s="42"/>
      <c r="D306" s="9"/>
    </row>
    <row r="307">
      <c r="B307" s="42"/>
      <c r="D307" s="9"/>
    </row>
    <row r="308">
      <c r="B308" s="42"/>
      <c r="D308" s="9"/>
    </row>
    <row r="309">
      <c r="B309" s="42"/>
      <c r="D309" s="9"/>
    </row>
    <row r="310">
      <c r="B310" s="42"/>
      <c r="D310" s="9"/>
    </row>
    <row r="311">
      <c r="B311" s="42"/>
      <c r="D311" s="9"/>
    </row>
    <row r="312">
      <c r="B312" s="42"/>
      <c r="D312" s="9"/>
    </row>
    <row r="313">
      <c r="B313" s="42"/>
      <c r="D313" s="9"/>
    </row>
    <row r="314">
      <c r="B314" s="42"/>
      <c r="D314" s="9"/>
    </row>
    <row r="315">
      <c r="B315" s="42"/>
      <c r="D315" s="9"/>
    </row>
    <row r="316">
      <c r="B316" s="42"/>
      <c r="D316" s="9"/>
    </row>
    <row r="317">
      <c r="B317" s="42"/>
      <c r="D317" s="9"/>
    </row>
    <row r="318">
      <c r="B318" s="42"/>
      <c r="D318" s="9"/>
    </row>
    <row r="319">
      <c r="B319" s="42"/>
      <c r="D319" s="9"/>
    </row>
    <row r="320">
      <c r="B320" s="42"/>
      <c r="D320" s="9"/>
    </row>
    <row r="321">
      <c r="B321" s="42"/>
      <c r="D321" s="9"/>
    </row>
    <row r="322">
      <c r="B322" s="42"/>
      <c r="D322" s="9"/>
    </row>
    <row r="323">
      <c r="B323" s="42"/>
      <c r="D323" s="9"/>
    </row>
    <row r="324">
      <c r="B324" s="42"/>
      <c r="D324" s="9"/>
    </row>
    <row r="325">
      <c r="B325" s="42"/>
      <c r="D325" s="9"/>
    </row>
    <row r="326">
      <c r="B326" s="42"/>
      <c r="D326" s="9"/>
    </row>
    <row r="327">
      <c r="B327" s="42"/>
      <c r="D327" s="9"/>
    </row>
    <row r="328">
      <c r="B328" s="42"/>
      <c r="D328" s="9"/>
    </row>
    <row r="329">
      <c r="B329" s="42"/>
      <c r="D329" s="9"/>
    </row>
    <row r="330">
      <c r="B330" s="42"/>
      <c r="D330" s="9"/>
    </row>
    <row r="331">
      <c r="B331" s="42"/>
      <c r="D331" s="9"/>
    </row>
    <row r="332">
      <c r="B332" s="42"/>
      <c r="D332" s="9"/>
    </row>
    <row r="333">
      <c r="B333" s="42"/>
      <c r="D333" s="9"/>
    </row>
    <row r="334">
      <c r="B334" s="42"/>
      <c r="D334" s="9"/>
    </row>
    <row r="335">
      <c r="B335" s="42"/>
      <c r="D335" s="9"/>
    </row>
    <row r="336">
      <c r="B336" s="42"/>
      <c r="D336" s="9"/>
    </row>
    <row r="337">
      <c r="B337" s="42"/>
      <c r="D337" s="9"/>
    </row>
    <row r="338">
      <c r="B338" s="42"/>
      <c r="D338" s="9"/>
    </row>
    <row r="339">
      <c r="B339" s="42"/>
      <c r="D339" s="9"/>
    </row>
    <row r="340">
      <c r="B340" s="42"/>
      <c r="D340" s="9"/>
    </row>
    <row r="341">
      <c r="B341" s="42"/>
      <c r="D341" s="9"/>
    </row>
    <row r="342">
      <c r="B342" s="42"/>
      <c r="D342" s="9"/>
    </row>
    <row r="343">
      <c r="B343" s="42"/>
      <c r="D343" s="9"/>
    </row>
    <row r="344">
      <c r="B344" s="42"/>
      <c r="D344" s="9"/>
    </row>
    <row r="345">
      <c r="B345" s="42"/>
      <c r="D345" s="9"/>
    </row>
    <row r="346">
      <c r="B346" s="42"/>
      <c r="D346" s="9"/>
    </row>
    <row r="347">
      <c r="B347" s="42"/>
      <c r="D347" s="9"/>
    </row>
    <row r="348">
      <c r="B348" s="42"/>
      <c r="D348" s="9"/>
    </row>
    <row r="349">
      <c r="B349" s="42"/>
      <c r="D349" s="9"/>
    </row>
    <row r="350">
      <c r="B350" s="42"/>
      <c r="D350" s="9"/>
    </row>
    <row r="351">
      <c r="B351" s="42"/>
      <c r="D351" s="9"/>
    </row>
    <row r="352">
      <c r="B352" s="42"/>
      <c r="D352" s="9"/>
    </row>
    <row r="353">
      <c r="B353" s="42"/>
      <c r="D353" s="9"/>
    </row>
    <row r="354">
      <c r="B354" s="42"/>
      <c r="D354" s="9"/>
    </row>
    <row r="355">
      <c r="B355" s="42"/>
      <c r="D355" s="9"/>
    </row>
    <row r="356">
      <c r="B356" s="42"/>
      <c r="D356" s="9"/>
    </row>
    <row r="357">
      <c r="B357" s="42"/>
      <c r="D357" s="9"/>
    </row>
    <row r="358">
      <c r="B358" s="42"/>
      <c r="D358" s="9"/>
    </row>
    <row r="359">
      <c r="B359" s="42"/>
      <c r="D359" s="9"/>
    </row>
    <row r="360">
      <c r="B360" s="42"/>
      <c r="D360" s="9"/>
    </row>
    <row r="361">
      <c r="B361" s="42"/>
      <c r="D361" s="9"/>
    </row>
    <row r="362">
      <c r="B362" s="42"/>
      <c r="D362" s="9"/>
    </row>
    <row r="363">
      <c r="B363" s="42"/>
      <c r="D363" s="9"/>
    </row>
    <row r="364">
      <c r="B364" s="42"/>
      <c r="D364" s="9"/>
    </row>
    <row r="365">
      <c r="B365" s="42"/>
      <c r="D365" s="9"/>
    </row>
    <row r="366">
      <c r="B366" s="42"/>
      <c r="D366" s="9"/>
    </row>
    <row r="367">
      <c r="B367" s="42"/>
      <c r="D367" s="9"/>
    </row>
    <row r="368">
      <c r="B368" s="42"/>
      <c r="D368" s="9"/>
    </row>
    <row r="369">
      <c r="B369" s="42"/>
      <c r="D369" s="9"/>
    </row>
    <row r="370">
      <c r="B370" s="42"/>
      <c r="D370" s="9"/>
    </row>
    <row r="371">
      <c r="B371" s="42"/>
      <c r="D371" s="9"/>
    </row>
    <row r="372">
      <c r="B372" s="42"/>
      <c r="D372" s="9"/>
    </row>
    <row r="373">
      <c r="B373" s="42"/>
      <c r="D373" s="9"/>
    </row>
    <row r="374">
      <c r="B374" s="42"/>
      <c r="D374" s="9"/>
    </row>
    <row r="375">
      <c r="B375" s="42"/>
      <c r="D375" s="9"/>
    </row>
    <row r="376">
      <c r="B376" s="42"/>
      <c r="D376" s="9"/>
    </row>
    <row r="377">
      <c r="B377" s="42"/>
      <c r="D377" s="9"/>
    </row>
    <row r="378">
      <c r="B378" s="42"/>
      <c r="D378" s="9"/>
    </row>
    <row r="379">
      <c r="B379" s="42"/>
      <c r="D379" s="9"/>
    </row>
    <row r="380">
      <c r="B380" s="42"/>
      <c r="D380" s="9"/>
    </row>
    <row r="381">
      <c r="B381" s="42"/>
      <c r="D381" s="9"/>
    </row>
    <row r="382">
      <c r="B382" s="42"/>
      <c r="D382" s="9"/>
    </row>
    <row r="383">
      <c r="B383" s="42"/>
      <c r="D383" s="9"/>
    </row>
    <row r="384">
      <c r="B384" s="42"/>
      <c r="D384" s="9"/>
    </row>
    <row r="385">
      <c r="B385" s="42"/>
      <c r="D385" s="9"/>
    </row>
    <row r="386">
      <c r="B386" s="42"/>
      <c r="D386" s="9"/>
    </row>
    <row r="387">
      <c r="B387" s="42"/>
      <c r="D387" s="9"/>
    </row>
    <row r="388">
      <c r="B388" s="42"/>
      <c r="D388" s="9"/>
    </row>
    <row r="389">
      <c r="B389" s="42"/>
      <c r="D389" s="9"/>
    </row>
    <row r="390">
      <c r="B390" s="42"/>
      <c r="D390" s="9"/>
    </row>
    <row r="391">
      <c r="B391" s="42"/>
      <c r="D391" s="9"/>
    </row>
    <row r="392">
      <c r="B392" s="42"/>
      <c r="D392" s="9"/>
    </row>
    <row r="393">
      <c r="B393" s="42"/>
      <c r="D393" s="9"/>
    </row>
    <row r="394">
      <c r="B394" s="42"/>
      <c r="D394" s="9"/>
    </row>
    <row r="395">
      <c r="B395" s="42"/>
      <c r="D395" s="9"/>
    </row>
    <row r="396">
      <c r="B396" s="42"/>
      <c r="D396" s="9"/>
    </row>
    <row r="397">
      <c r="B397" s="42"/>
      <c r="D397" s="9"/>
    </row>
    <row r="398">
      <c r="B398" s="42"/>
      <c r="D398" s="9"/>
    </row>
    <row r="399">
      <c r="B399" s="42"/>
      <c r="D399" s="9"/>
    </row>
    <row r="400">
      <c r="B400" s="42"/>
      <c r="D400" s="9"/>
    </row>
    <row r="401">
      <c r="B401" s="42"/>
      <c r="D401" s="9"/>
    </row>
    <row r="402">
      <c r="B402" s="42"/>
      <c r="D402" s="9"/>
    </row>
    <row r="403">
      <c r="B403" s="42"/>
      <c r="D403" s="9"/>
    </row>
    <row r="404">
      <c r="B404" s="42"/>
      <c r="D404" s="9"/>
    </row>
    <row r="405">
      <c r="B405" s="42"/>
      <c r="D405" s="9"/>
    </row>
    <row r="406">
      <c r="B406" s="42"/>
      <c r="D406" s="9"/>
    </row>
    <row r="407">
      <c r="B407" s="42"/>
      <c r="D407" s="9"/>
    </row>
    <row r="408">
      <c r="B408" s="42"/>
      <c r="D408" s="9"/>
    </row>
    <row r="409">
      <c r="B409" s="42"/>
      <c r="D409" s="9"/>
    </row>
    <row r="410">
      <c r="B410" s="42"/>
      <c r="D410" s="9"/>
    </row>
    <row r="411">
      <c r="B411" s="42"/>
      <c r="D411" s="9"/>
    </row>
    <row r="412">
      <c r="B412" s="42"/>
      <c r="D412" s="9"/>
    </row>
    <row r="413">
      <c r="B413" s="42"/>
      <c r="D413" s="9"/>
    </row>
    <row r="414">
      <c r="B414" s="42"/>
      <c r="D414" s="9"/>
    </row>
    <row r="415">
      <c r="B415" s="42"/>
      <c r="D415" s="9"/>
    </row>
    <row r="416">
      <c r="B416" s="42"/>
      <c r="D416" s="9"/>
    </row>
    <row r="417">
      <c r="B417" s="42"/>
      <c r="D417" s="9"/>
    </row>
    <row r="418">
      <c r="B418" s="42"/>
      <c r="D418" s="9"/>
    </row>
    <row r="419">
      <c r="B419" s="42"/>
      <c r="D419" s="9"/>
    </row>
    <row r="420">
      <c r="B420" s="42"/>
      <c r="D420" s="9"/>
    </row>
    <row r="421">
      <c r="B421" s="42"/>
      <c r="D421" s="9"/>
    </row>
    <row r="422">
      <c r="B422" s="42"/>
      <c r="D422" s="9"/>
    </row>
    <row r="423">
      <c r="B423" s="42"/>
      <c r="D423" s="9"/>
    </row>
    <row r="424">
      <c r="B424" s="42"/>
      <c r="D424" s="9"/>
    </row>
    <row r="425">
      <c r="B425" s="42"/>
      <c r="D425" s="9"/>
    </row>
    <row r="426">
      <c r="B426" s="42"/>
      <c r="D426" s="9"/>
    </row>
    <row r="427">
      <c r="B427" s="42"/>
      <c r="D427" s="9"/>
    </row>
    <row r="428">
      <c r="B428" s="42"/>
      <c r="D428" s="9"/>
    </row>
    <row r="429">
      <c r="B429" s="42"/>
      <c r="D429" s="9"/>
    </row>
    <row r="430">
      <c r="B430" s="42"/>
      <c r="D430" s="9"/>
    </row>
    <row r="431">
      <c r="B431" s="42"/>
      <c r="D431" s="9"/>
    </row>
    <row r="432">
      <c r="B432" s="42"/>
      <c r="D432" s="9"/>
    </row>
    <row r="433">
      <c r="B433" s="42"/>
      <c r="D433" s="9"/>
    </row>
    <row r="434">
      <c r="B434" s="42"/>
      <c r="D434" s="9"/>
    </row>
    <row r="435">
      <c r="B435" s="42"/>
      <c r="D435" s="9"/>
    </row>
    <row r="436">
      <c r="B436" s="42"/>
      <c r="D436" s="9"/>
    </row>
    <row r="437">
      <c r="B437" s="42"/>
      <c r="D437" s="9"/>
    </row>
    <row r="438">
      <c r="B438" s="42"/>
      <c r="D438" s="9"/>
    </row>
    <row r="439">
      <c r="B439" s="42"/>
      <c r="D439" s="9"/>
    </row>
    <row r="440">
      <c r="B440" s="42"/>
      <c r="D440" s="9"/>
    </row>
    <row r="441">
      <c r="B441" s="42"/>
      <c r="D441" s="9"/>
    </row>
    <row r="442">
      <c r="B442" s="42"/>
      <c r="D442" s="9"/>
    </row>
    <row r="443">
      <c r="B443" s="42"/>
      <c r="D443" s="9"/>
    </row>
    <row r="444">
      <c r="B444" s="42"/>
      <c r="D444" s="9"/>
    </row>
    <row r="445">
      <c r="B445" s="42"/>
      <c r="D445" s="9"/>
    </row>
    <row r="446">
      <c r="B446" s="42"/>
      <c r="D446" s="9"/>
    </row>
    <row r="447">
      <c r="B447" s="42"/>
      <c r="D447" s="9"/>
    </row>
    <row r="448">
      <c r="B448" s="42"/>
      <c r="D448" s="9"/>
    </row>
    <row r="449">
      <c r="B449" s="42"/>
      <c r="D449" s="9"/>
    </row>
    <row r="450">
      <c r="B450" s="42"/>
      <c r="D450" s="9"/>
    </row>
    <row r="451">
      <c r="B451" s="42"/>
      <c r="D451" s="9"/>
    </row>
    <row r="452">
      <c r="B452" s="42"/>
      <c r="D452" s="9"/>
    </row>
    <row r="453">
      <c r="B453" s="42"/>
      <c r="D453" s="9"/>
    </row>
    <row r="454">
      <c r="B454" s="42"/>
      <c r="D454" s="9"/>
    </row>
    <row r="455">
      <c r="B455" s="42"/>
      <c r="D455" s="9"/>
    </row>
    <row r="456">
      <c r="B456" s="42"/>
      <c r="D456" s="9"/>
    </row>
    <row r="457">
      <c r="B457" s="42"/>
      <c r="D457" s="9"/>
    </row>
    <row r="458">
      <c r="B458" s="42"/>
      <c r="D458" s="9"/>
    </row>
    <row r="459">
      <c r="B459" s="42"/>
      <c r="D459" s="9"/>
    </row>
    <row r="460">
      <c r="B460" s="42"/>
      <c r="D460" s="9"/>
    </row>
    <row r="461">
      <c r="B461" s="42"/>
      <c r="D461" s="9"/>
    </row>
    <row r="462">
      <c r="B462" s="42"/>
      <c r="D462" s="9"/>
    </row>
    <row r="463">
      <c r="B463" s="42"/>
      <c r="D463" s="9"/>
    </row>
    <row r="464">
      <c r="B464" s="42"/>
      <c r="D464" s="9"/>
    </row>
    <row r="465">
      <c r="B465" s="42"/>
      <c r="D465" s="9"/>
    </row>
    <row r="466">
      <c r="B466" s="42"/>
      <c r="D466" s="9"/>
    </row>
    <row r="467">
      <c r="B467" s="42"/>
      <c r="D467" s="9"/>
    </row>
    <row r="468">
      <c r="B468" s="42"/>
      <c r="D468" s="9"/>
    </row>
    <row r="469">
      <c r="B469" s="42"/>
      <c r="D469" s="9"/>
    </row>
    <row r="470">
      <c r="B470" s="42"/>
      <c r="D470" s="9"/>
    </row>
    <row r="471">
      <c r="B471" s="42"/>
      <c r="D471" s="9"/>
    </row>
    <row r="472">
      <c r="B472" s="42"/>
      <c r="D472" s="9"/>
    </row>
    <row r="473">
      <c r="B473" s="42"/>
      <c r="D473" s="9"/>
    </row>
    <row r="474">
      <c r="B474" s="42"/>
      <c r="D474" s="9"/>
    </row>
    <row r="475">
      <c r="B475" s="42"/>
      <c r="D475" s="9"/>
    </row>
    <row r="476">
      <c r="B476" s="42"/>
      <c r="D476" s="9"/>
    </row>
    <row r="477">
      <c r="B477" s="42"/>
      <c r="D477" s="9"/>
    </row>
    <row r="478">
      <c r="B478" s="42"/>
      <c r="D478" s="9"/>
    </row>
    <row r="479">
      <c r="B479" s="42"/>
      <c r="D479" s="9"/>
    </row>
    <row r="480">
      <c r="B480" s="42"/>
      <c r="D480" s="9"/>
    </row>
    <row r="481">
      <c r="B481" s="42"/>
      <c r="D481" s="9"/>
    </row>
    <row r="482">
      <c r="B482" s="42"/>
      <c r="D482" s="9"/>
    </row>
    <row r="483">
      <c r="B483" s="42"/>
      <c r="D483" s="9"/>
    </row>
    <row r="484">
      <c r="B484" s="42"/>
      <c r="D484" s="9"/>
    </row>
    <row r="485">
      <c r="B485" s="42"/>
      <c r="D485" s="9"/>
    </row>
    <row r="486">
      <c r="B486" s="42"/>
      <c r="D486" s="9"/>
    </row>
    <row r="487">
      <c r="B487" s="42"/>
      <c r="D487" s="9"/>
    </row>
    <row r="488">
      <c r="B488" s="42"/>
      <c r="D488" s="9"/>
    </row>
    <row r="489">
      <c r="B489" s="42"/>
      <c r="D489" s="9"/>
    </row>
    <row r="490">
      <c r="B490" s="42"/>
      <c r="D490" s="9"/>
    </row>
    <row r="491">
      <c r="B491" s="42"/>
      <c r="D491" s="9"/>
    </row>
    <row r="492">
      <c r="B492" s="42"/>
      <c r="D492" s="9"/>
    </row>
    <row r="493">
      <c r="B493" s="42"/>
      <c r="D493" s="9"/>
    </row>
    <row r="494">
      <c r="B494" s="42"/>
      <c r="D494" s="9"/>
    </row>
    <row r="495">
      <c r="B495" s="42"/>
      <c r="D495" s="9"/>
    </row>
    <row r="496">
      <c r="B496" s="42"/>
      <c r="D496" s="9"/>
    </row>
    <row r="497">
      <c r="B497" s="42"/>
      <c r="D497" s="9"/>
    </row>
    <row r="498">
      <c r="B498" s="42"/>
      <c r="D498" s="9"/>
    </row>
    <row r="499">
      <c r="B499" s="42"/>
      <c r="D499" s="9"/>
    </row>
    <row r="500">
      <c r="B500" s="42"/>
      <c r="D500" s="9"/>
    </row>
    <row r="501">
      <c r="B501" s="42"/>
      <c r="D501" s="9"/>
    </row>
    <row r="502">
      <c r="B502" s="42"/>
      <c r="D502" s="9"/>
    </row>
    <row r="503">
      <c r="B503" s="42"/>
      <c r="D503" s="9"/>
    </row>
    <row r="504">
      <c r="B504" s="42"/>
      <c r="D504" s="9"/>
    </row>
    <row r="505">
      <c r="B505" s="42"/>
      <c r="D505" s="9"/>
    </row>
    <row r="506">
      <c r="B506" s="42"/>
      <c r="D506" s="9"/>
    </row>
    <row r="507">
      <c r="B507" s="42"/>
      <c r="D507" s="9"/>
    </row>
    <row r="508">
      <c r="B508" s="42"/>
      <c r="D508" s="9"/>
    </row>
    <row r="509">
      <c r="B509" s="42"/>
      <c r="D509" s="9"/>
    </row>
    <row r="510">
      <c r="B510" s="42"/>
      <c r="D510" s="9"/>
    </row>
    <row r="511">
      <c r="B511" s="42"/>
      <c r="D511" s="9"/>
    </row>
    <row r="512">
      <c r="B512" s="42"/>
      <c r="D512" s="9"/>
    </row>
    <row r="513">
      <c r="B513" s="42"/>
      <c r="D513" s="9"/>
    </row>
    <row r="514">
      <c r="B514" s="42"/>
      <c r="D514" s="9"/>
    </row>
    <row r="515">
      <c r="B515" s="42"/>
      <c r="D515" s="9"/>
    </row>
    <row r="516">
      <c r="B516" s="42"/>
      <c r="D516" s="9"/>
    </row>
    <row r="517">
      <c r="B517" s="42"/>
      <c r="D517" s="9"/>
    </row>
    <row r="518">
      <c r="B518" s="42"/>
      <c r="D518" s="9"/>
    </row>
    <row r="519">
      <c r="B519" s="42"/>
      <c r="D519" s="9"/>
    </row>
    <row r="520">
      <c r="B520" s="42"/>
      <c r="D520" s="9"/>
    </row>
    <row r="521">
      <c r="B521" s="42"/>
      <c r="D521" s="9"/>
    </row>
    <row r="522">
      <c r="B522" s="42"/>
      <c r="D522" s="9"/>
    </row>
    <row r="523">
      <c r="B523" s="42"/>
      <c r="D523" s="9"/>
    </row>
    <row r="524">
      <c r="B524" s="42"/>
      <c r="D524" s="9"/>
    </row>
    <row r="525">
      <c r="B525" s="42"/>
      <c r="D525" s="9"/>
    </row>
    <row r="526">
      <c r="B526" s="42"/>
      <c r="D526" s="9"/>
    </row>
    <row r="527">
      <c r="B527" s="42"/>
      <c r="D527" s="9"/>
    </row>
    <row r="528">
      <c r="B528" s="42"/>
      <c r="D528" s="9"/>
    </row>
    <row r="529">
      <c r="B529" s="42"/>
      <c r="D529" s="9"/>
    </row>
    <row r="530">
      <c r="B530" s="42"/>
      <c r="D530" s="9"/>
    </row>
    <row r="531">
      <c r="B531" s="42"/>
      <c r="D531" s="9"/>
    </row>
    <row r="532">
      <c r="B532" s="42"/>
      <c r="D532" s="9"/>
    </row>
    <row r="533">
      <c r="B533" s="42"/>
      <c r="D533" s="9"/>
    </row>
    <row r="534">
      <c r="B534" s="42"/>
      <c r="D534" s="9"/>
    </row>
    <row r="535">
      <c r="B535" s="42"/>
      <c r="D535" s="9"/>
    </row>
    <row r="536">
      <c r="B536" s="42"/>
      <c r="D536" s="9"/>
    </row>
    <row r="537">
      <c r="B537" s="42"/>
      <c r="D537" s="9"/>
    </row>
    <row r="538">
      <c r="B538" s="42"/>
      <c r="D538" s="9"/>
    </row>
    <row r="539">
      <c r="B539" s="42"/>
      <c r="D539" s="9"/>
    </row>
    <row r="540">
      <c r="B540" s="42"/>
      <c r="D540" s="9"/>
    </row>
    <row r="541">
      <c r="B541" s="42"/>
      <c r="D541" s="9"/>
    </row>
    <row r="542">
      <c r="B542" s="42"/>
      <c r="D542" s="9"/>
    </row>
    <row r="543">
      <c r="B543" s="42"/>
      <c r="D543" s="9"/>
    </row>
    <row r="544">
      <c r="B544" s="42"/>
      <c r="D544" s="9"/>
    </row>
    <row r="545">
      <c r="B545" s="42"/>
      <c r="D545" s="9"/>
    </row>
    <row r="546">
      <c r="B546" s="42"/>
      <c r="D546" s="9"/>
    </row>
    <row r="547">
      <c r="B547" s="42"/>
      <c r="D547" s="9"/>
    </row>
    <row r="548">
      <c r="B548" s="42"/>
      <c r="D548" s="9"/>
    </row>
    <row r="549">
      <c r="B549" s="42"/>
      <c r="D549" s="9"/>
    </row>
    <row r="550">
      <c r="B550" s="42"/>
      <c r="D550" s="9"/>
    </row>
    <row r="551">
      <c r="B551" s="42"/>
      <c r="D551" s="9"/>
    </row>
    <row r="552">
      <c r="B552" s="42"/>
      <c r="D552" s="9"/>
    </row>
    <row r="553">
      <c r="B553" s="42"/>
      <c r="D553" s="9"/>
    </row>
    <row r="554">
      <c r="B554" s="42"/>
      <c r="D554" s="9"/>
    </row>
    <row r="555">
      <c r="B555" s="42"/>
      <c r="D555" s="9"/>
    </row>
    <row r="556">
      <c r="B556" s="42"/>
      <c r="D556" s="9"/>
    </row>
    <row r="557">
      <c r="B557" s="42"/>
      <c r="D557" s="9"/>
    </row>
    <row r="558">
      <c r="B558" s="42"/>
      <c r="D558" s="9"/>
    </row>
    <row r="559">
      <c r="B559" s="42"/>
      <c r="D559" s="9"/>
    </row>
    <row r="560">
      <c r="B560" s="42"/>
      <c r="D560" s="9"/>
    </row>
    <row r="561">
      <c r="B561" s="42"/>
      <c r="D561" s="9"/>
    </row>
    <row r="562">
      <c r="B562" s="42"/>
      <c r="D562" s="9"/>
    </row>
    <row r="563">
      <c r="B563" s="42"/>
      <c r="D563" s="9"/>
    </row>
    <row r="564">
      <c r="B564" s="42"/>
      <c r="D564" s="9"/>
    </row>
    <row r="565">
      <c r="B565" s="42"/>
      <c r="D565" s="9"/>
    </row>
    <row r="566">
      <c r="B566" s="42"/>
      <c r="D566" s="9"/>
    </row>
    <row r="567">
      <c r="B567" s="42"/>
      <c r="D567" s="9"/>
    </row>
    <row r="568">
      <c r="B568" s="42"/>
      <c r="D568" s="9"/>
    </row>
    <row r="569">
      <c r="B569" s="42"/>
      <c r="D569" s="9"/>
    </row>
    <row r="570">
      <c r="B570" s="42"/>
      <c r="D570" s="9"/>
    </row>
    <row r="571">
      <c r="B571" s="42"/>
      <c r="D571" s="9"/>
    </row>
    <row r="572">
      <c r="B572" s="42"/>
      <c r="D572" s="9"/>
    </row>
    <row r="573">
      <c r="B573" s="42"/>
      <c r="D573" s="9"/>
    </row>
    <row r="574">
      <c r="B574" s="42"/>
      <c r="D574" s="9"/>
    </row>
    <row r="575">
      <c r="B575" s="42"/>
      <c r="D575" s="9"/>
    </row>
    <row r="576">
      <c r="B576" s="42"/>
      <c r="D576" s="9"/>
    </row>
    <row r="577">
      <c r="B577" s="42"/>
      <c r="D577" s="9"/>
    </row>
    <row r="578">
      <c r="B578" s="42"/>
      <c r="D578" s="9"/>
    </row>
    <row r="579">
      <c r="B579" s="42"/>
      <c r="D579" s="9"/>
    </row>
    <row r="580">
      <c r="B580" s="42"/>
      <c r="D580" s="9"/>
    </row>
    <row r="581">
      <c r="B581" s="42"/>
      <c r="D581" s="9"/>
    </row>
    <row r="582">
      <c r="B582" s="42"/>
      <c r="D582" s="9"/>
    </row>
    <row r="583">
      <c r="B583" s="42"/>
      <c r="D583" s="9"/>
    </row>
    <row r="584">
      <c r="B584" s="42"/>
      <c r="D584" s="9"/>
    </row>
    <row r="585">
      <c r="B585" s="42"/>
      <c r="D585" s="9"/>
    </row>
    <row r="586">
      <c r="B586" s="42"/>
      <c r="D586" s="9"/>
    </row>
    <row r="587">
      <c r="B587" s="42"/>
      <c r="D587" s="9"/>
    </row>
    <row r="588">
      <c r="B588" s="42"/>
      <c r="D588" s="9"/>
    </row>
    <row r="589">
      <c r="B589" s="42"/>
      <c r="D589" s="9"/>
    </row>
    <row r="590">
      <c r="B590" s="42"/>
      <c r="D590" s="9"/>
    </row>
    <row r="591">
      <c r="B591" s="42"/>
      <c r="D591" s="9"/>
    </row>
    <row r="592">
      <c r="B592" s="42"/>
      <c r="D592" s="9"/>
    </row>
    <row r="593">
      <c r="B593" s="42"/>
      <c r="D593" s="9"/>
    </row>
    <row r="594">
      <c r="B594" s="42"/>
      <c r="D594" s="9"/>
    </row>
    <row r="595">
      <c r="B595" s="42"/>
      <c r="D595" s="9"/>
    </row>
    <row r="596">
      <c r="B596" s="42"/>
      <c r="D596" s="9"/>
    </row>
    <row r="597">
      <c r="B597" s="42"/>
      <c r="D597" s="9"/>
    </row>
    <row r="598">
      <c r="B598" s="42"/>
      <c r="D598" s="9"/>
    </row>
    <row r="599">
      <c r="B599" s="42"/>
      <c r="D599" s="9"/>
    </row>
    <row r="600">
      <c r="B600" s="42"/>
      <c r="D600" s="9"/>
    </row>
    <row r="601">
      <c r="B601" s="42"/>
      <c r="D601" s="9"/>
    </row>
    <row r="602">
      <c r="B602" s="42"/>
      <c r="D602" s="9"/>
    </row>
    <row r="603">
      <c r="B603" s="42"/>
      <c r="D603" s="9"/>
    </row>
    <row r="604">
      <c r="B604" s="42"/>
      <c r="D604" s="9"/>
    </row>
    <row r="605">
      <c r="B605" s="42"/>
      <c r="D605" s="9"/>
    </row>
    <row r="606">
      <c r="B606" s="42"/>
      <c r="D606" s="9"/>
    </row>
    <row r="607">
      <c r="B607" s="42"/>
      <c r="D607" s="9"/>
    </row>
    <row r="608">
      <c r="B608" s="42"/>
      <c r="D608" s="9"/>
    </row>
    <row r="609">
      <c r="B609" s="42"/>
      <c r="D609" s="9"/>
    </row>
    <row r="610">
      <c r="B610" s="42"/>
      <c r="D610" s="9"/>
    </row>
    <row r="611">
      <c r="B611" s="42"/>
      <c r="D611" s="9"/>
    </row>
    <row r="612">
      <c r="B612" s="42"/>
      <c r="D612" s="9"/>
    </row>
    <row r="613">
      <c r="B613" s="42"/>
      <c r="D613" s="9"/>
    </row>
    <row r="614">
      <c r="B614" s="42"/>
      <c r="D614" s="9"/>
    </row>
    <row r="615">
      <c r="B615" s="42"/>
      <c r="D615" s="9"/>
    </row>
    <row r="616">
      <c r="B616" s="42"/>
      <c r="D616" s="9"/>
    </row>
    <row r="617">
      <c r="B617" s="42"/>
      <c r="D617" s="9"/>
    </row>
    <row r="618">
      <c r="B618" s="42"/>
      <c r="D618" s="9"/>
    </row>
    <row r="619">
      <c r="B619" s="42"/>
      <c r="D619" s="9"/>
    </row>
    <row r="620">
      <c r="B620" s="42"/>
      <c r="D620" s="9"/>
    </row>
    <row r="621">
      <c r="B621" s="42"/>
      <c r="D621" s="9"/>
    </row>
    <row r="622">
      <c r="B622" s="42"/>
      <c r="D622" s="9"/>
    </row>
    <row r="623">
      <c r="B623" s="42"/>
      <c r="D623" s="9"/>
    </row>
    <row r="624">
      <c r="B624" s="42"/>
      <c r="D624" s="9"/>
    </row>
    <row r="625">
      <c r="B625" s="42"/>
      <c r="D625" s="9"/>
    </row>
    <row r="626">
      <c r="B626" s="42"/>
      <c r="D626" s="9"/>
    </row>
    <row r="627">
      <c r="B627" s="42"/>
      <c r="D627" s="9"/>
    </row>
    <row r="628">
      <c r="B628" s="42"/>
      <c r="D628" s="9"/>
    </row>
    <row r="629">
      <c r="B629" s="42"/>
      <c r="D629" s="9"/>
    </row>
    <row r="630">
      <c r="B630" s="42"/>
      <c r="D630" s="9"/>
    </row>
    <row r="631">
      <c r="B631" s="42"/>
      <c r="D631" s="9"/>
    </row>
    <row r="632">
      <c r="B632" s="42"/>
      <c r="D632" s="9"/>
    </row>
    <row r="633">
      <c r="B633" s="42"/>
      <c r="D633" s="9"/>
    </row>
    <row r="634">
      <c r="B634" s="42"/>
      <c r="D634" s="9"/>
    </row>
    <row r="635">
      <c r="B635" s="42"/>
      <c r="D635" s="9"/>
    </row>
    <row r="636">
      <c r="B636" s="42"/>
      <c r="D636" s="9"/>
    </row>
    <row r="637">
      <c r="B637" s="42"/>
      <c r="D637" s="9"/>
    </row>
    <row r="638">
      <c r="B638" s="42"/>
      <c r="D638" s="9"/>
    </row>
    <row r="639">
      <c r="B639" s="42"/>
      <c r="D639" s="9"/>
    </row>
    <row r="640">
      <c r="B640" s="42"/>
      <c r="D640" s="9"/>
    </row>
    <row r="641">
      <c r="B641" s="42"/>
      <c r="D641" s="9"/>
    </row>
    <row r="642">
      <c r="B642" s="42"/>
      <c r="D642" s="9"/>
    </row>
    <row r="643">
      <c r="B643" s="42"/>
      <c r="D643" s="9"/>
    </row>
    <row r="644">
      <c r="B644" s="42"/>
      <c r="D644" s="9"/>
    </row>
    <row r="645">
      <c r="B645" s="42"/>
      <c r="D645" s="9"/>
    </row>
    <row r="646">
      <c r="B646" s="42"/>
      <c r="D646" s="9"/>
    </row>
    <row r="647">
      <c r="B647" s="42"/>
      <c r="D647" s="9"/>
    </row>
    <row r="648">
      <c r="B648" s="42"/>
      <c r="D648" s="9"/>
    </row>
    <row r="649">
      <c r="B649" s="42"/>
      <c r="D649" s="9"/>
    </row>
    <row r="650">
      <c r="B650" s="42"/>
      <c r="D650" s="9"/>
    </row>
    <row r="651">
      <c r="B651" s="42"/>
      <c r="D651" s="9"/>
    </row>
    <row r="652">
      <c r="B652" s="42"/>
      <c r="D652" s="9"/>
    </row>
    <row r="653">
      <c r="B653" s="42"/>
      <c r="D653" s="9"/>
    </row>
    <row r="654">
      <c r="B654" s="42"/>
      <c r="D654" s="9"/>
    </row>
    <row r="655">
      <c r="B655" s="42"/>
      <c r="D655" s="9"/>
    </row>
    <row r="656">
      <c r="B656" s="42"/>
      <c r="D656" s="9"/>
    </row>
    <row r="657">
      <c r="B657" s="42"/>
      <c r="D657" s="9"/>
    </row>
    <row r="658">
      <c r="B658" s="42"/>
      <c r="D658" s="9"/>
    </row>
    <row r="659">
      <c r="B659" s="42"/>
      <c r="D659" s="9"/>
    </row>
    <row r="660">
      <c r="B660" s="42"/>
      <c r="D660" s="9"/>
    </row>
    <row r="661">
      <c r="B661" s="42"/>
      <c r="D661" s="9"/>
    </row>
    <row r="662">
      <c r="B662" s="42"/>
      <c r="D662" s="9"/>
    </row>
    <row r="663">
      <c r="B663" s="42"/>
      <c r="D663" s="9"/>
    </row>
    <row r="664">
      <c r="B664" s="42"/>
      <c r="D664" s="9"/>
    </row>
    <row r="665">
      <c r="B665" s="42"/>
      <c r="D665" s="9"/>
    </row>
    <row r="666">
      <c r="B666" s="42"/>
      <c r="D666" s="9"/>
    </row>
    <row r="667">
      <c r="B667" s="42"/>
      <c r="D667" s="9"/>
    </row>
    <row r="668">
      <c r="B668" s="42"/>
      <c r="D668" s="9"/>
    </row>
    <row r="669">
      <c r="B669" s="42"/>
      <c r="D669" s="9"/>
    </row>
    <row r="670">
      <c r="B670" s="42"/>
      <c r="D670" s="9"/>
    </row>
    <row r="671">
      <c r="B671" s="42"/>
      <c r="D671" s="9"/>
    </row>
    <row r="672">
      <c r="B672" s="42"/>
      <c r="D672" s="9"/>
    </row>
    <row r="673">
      <c r="B673" s="42"/>
      <c r="D673" s="9"/>
    </row>
    <row r="674">
      <c r="B674" s="42"/>
      <c r="D674" s="9"/>
    </row>
    <row r="675">
      <c r="B675" s="42"/>
      <c r="D675" s="9"/>
    </row>
    <row r="676">
      <c r="B676" s="42"/>
      <c r="D676" s="9"/>
    </row>
    <row r="677">
      <c r="B677" s="42"/>
      <c r="D677" s="9"/>
    </row>
    <row r="678">
      <c r="B678" s="42"/>
      <c r="D678" s="9"/>
    </row>
    <row r="679">
      <c r="B679" s="42"/>
      <c r="D679" s="9"/>
    </row>
    <row r="680">
      <c r="B680" s="42"/>
      <c r="D680" s="9"/>
    </row>
    <row r="681">
      <c r="B681" s="42"/>
      <c r="D681" s="9"/>
    </row>
    <row r="682">
      <c r="B682" s="42"/>
      <c r="D682" s="9"/>
    </row>
    <row r="683">
      <c r="B683" s="42"/>
      <c r="D683" s="9"/>
    </row>
    <row r="684">
      <c r="B684" s="42"/>
      <c r="D684" s="9"/>
    </row>
    <row r="685">
      <c r="B685" s="42"/>
      <c r="D685" s="9"/>
    </row>
    <row r="686">
      <c r="B686" s="42"/>
      <c r="D686" s="9"/>
    </row>
    <row r="687">
      <c r="B687" s="42"/>
      <c r="D687" s="9"/>
    </row>
    <row r="688">
      <c r="B688" s="42"/>
      <c r="D688" s="9"/>
    </row>
    <row r="689">
      <c r="B689" s="42"/>
      <c r="D689" s="9"/>
    </row>
    <row r="690">
      <c r="B690" s="42"/>
      <c r="D690" s="9"/>
    </row>
    <row r="691">
      <c r="B691" s="42"/>
      <c r="D691" s="9"/>
    </row>
    <row r="692">
      <c r="B692" s="42"/>
      <c r="D692" s="9"/>
    </row>
    <row r="693">
      <c r="B693" s="42"/>
      <c r="D693" s="9"/>
    </row>
    <row r="694">
      <c r="B694" s="42"/>
      <c r="D694" s="9"/>
    </row>
    <row r="695">
      <c r="B695" s="42"/>
      <c r="D695" s="9"/>
    </row>
    <row r="696">
      <c r="B696" s="42"/>
      <c r="D696" s="9"/>
    </row>
    <row r="697">
      <c r="B697" s="42"/>
      <c r="D697" s="9"/>
    </row>
    <row r="698">
      <c r="B698" s="42"/>
      <c r="D698" s="9"/>
    </row>
    <row r="699">
      <c r="B699" s="42"/>
      <c r="D699" s="9"/>
    </row>
    <row r="700">
      <c r="B700" s="42"/>
      <c r="D700" s="9"/>
    </row>
    <row r="701">
      <c r="B701" s="42"/>
      <c r="D701" s="9"/>
    </row>
    <row r="702">
      <c r="B702" s="42"/>
      <c r="D702" s="9"/>
    </row>
    <row r="703">
      <c r="B703" s="42"/>
      <c r="D703" s="9"/>
    </row>
    <row r="704">
      <c r="B704" s="42"/>
      <c r="D704" s="9"/>
    </row>
    <row r="705">
      <c r="B705" s="42"/>
      <c r="D705" s="9"/>
    </row>
    <row r="706">
      <c r="B706" s="42"/>
      <c r="D706" s="9"/>
    </row>
    <row r="707">
      <c r="B707" s="42"/>
      <c r="D707" s="9"/>
    </row>
    <row r="708">
      <c r="B708" s="42"/>
      <c r="D708" s="9"/>
    </row>
    <row r="709">
      <c r="B709" s="42"/>
      <c r="D709" s="9"/>
    </row>
    <row r="710">
      <c r="B710" s="42"/>
      <c r="D710" s="9"/>
    </row>
    <row r="711">
      <c r="B711" s="42"/>
      <c r="D711" s="9"/>
    </row>
    <row r="712">
      <c r="B712" s="42"/>
      <c r="D712" s="9"/>
    </row>
    <row r="713">
      <c r="B713" s="42"/>
      <c r="D713" s="9"/>
    </row>
    <row r="714">
      <c r="B714" s="42"/>
      <c r="D714" s="9"/>
    </row>
    <row r="715">
      <c r="B715" s="42"/>
      <c r="D715" s="9"/>
    </row>
    <row r="716">
      <c r="B716" s="42"/>
      <c r="D716" s="9"/>
    </row>
    <row r="717">
      <c r="B717" s="42"/>
      <c r="D717" s="9"/>
    </row>
    <row r="718">
      <c r="B718" s="42"/>
      <c r="D718" s="9"/>
    </row>
    <row r="719">
      <c r="B719" s="42"/>
      <c r="D719" s="9"/>
    </row>
    <row r="720">
      <c r="B720" s="42"/>
      <c r="D720" s="9"/>
    </row>
    <row r="721">
      <c r="B721" s="42"/>
      <c r="D721" s="9"/>
    </row>
    <row r="722">
      <c r="B722" s="42"/>
      <c r="D722" s="9"/>
    </row>
    <row r="723">
      <c r="B723" s="42"/>
      <c r="D723" s="9"/>
    </row>
    <row r="724">
      <c r="B724" s="42"/>
      <c r="D724" s="9"/>
    </row>
    <row r="725">
      <c r="B725" s="42"/>
      <c r="D725" s="9"/>
    </row>
    <row r="726">
      <c r="B726" s="42"/>
      <c r="D726" s="9"/>
    </row>
    <row r="727">
      <c r="B727" s="42"/>
      <c r="D727" s="9"/>
    </row>
    <row r="728">
      <c r="B728" s="42"/>
      <c r="D728" s="9"/>
    </row>
    <row r="729">
      <c r="B729" s="42"/>
      <c r="D729" s="9"/>
    </row>
    <row r="730">
      <c r="B730" s="42"/>
      <c r="D730" s="9"/>
    </row>
    <row r="731">
      <c r="B731" s="42"/>
      <c r="D731" s="9"/>
    </row>
    <row r="732">
      <c r="B732" s="42"/>
      <c r="D732" s="9"/>
    </row>
    <row r="733">
      <c r="B733" s="42"/>
      <c r="D733" s="9"/>
    </row>
    <row r="734">
      <c r="B734" s="42"/>
      <c r="D734" s="9"/>
    </row>
    <row r="735">
      <c r="B735" s="42"/>
      <c r="D735" s="9"/>
    </row>
    <row r="736">
      <c r="B736" s="42"/>
      <c r="D736" s="9"/>
    </row>
    <row r="737">
      <c r="B737" s="42"/>
      <c r="D737" s="9"/>
    </row>
    <row r="738">
      <c r="B738" s="42"/>
      <c r="D738" s="9"/>
    </row>
    <row r="739">
      <c r="B739" s="42"/>
      <c r="D739" s="9"/>
    </row>
    <row r="740">
      <c r="B740" s="42"/>
      <c r="D740" s="9"/>
    </row>
    <row r="741">
      <c r="B741" s="42"/>
      <c r="D741" s="9"/>
    </row>
    <row r="742">
      <c r="B742" s="42"/>
      <c r="D742" s="9"/>
    </row>
    <row r="743">
      <c r="B743" s="42"/>
      <c r="D743" s="9"/>
    </row>
    <row r="744">
      <c r="B744" s="42"/>
      <c r="D744" s="9"/>
    </row>
    <row r="745">
      <c r="B745" s="42"/>
      <c r="D745" s="9"/>
    </row>
    <row r="746">
      <c r="B746" s="42"/>
      <c r="D746" s="9"/>
    </row>
    <row r="747">
      <c r="B747" s="42"/>
      <c r="D747" s="9"/>
    </row>
    <row r="748">
      <c r="B748" s="42"/>
      <c r="D748" s="9"/>
    </row>
    <row r="749">
      <c r="B749" s="42"/>
      <c r="D749" s="9"/>
    </row>
    <row r="750">
      <c r="B750" s="42"/>
      <c r="D750" s="9"/>
    </row>
    <row r="751">
      <c r="B751" s="42"/>
      <c r="D751" s="9"/>
    </row>
    <row r="752">
      <c r="B752" s="42"/>
      <c r="D752" s="9"/>
    </row>
    <row r="753">
      <c r="B753" s="42"/>
      <c r="D753" s="9"/>
    </row>
    <row r="754">
      <c r="B754" s="42"/>
      <c r="D754" s="9"/>
    </row>
    <row r="755">
      <c r="B755" s="42"/>
      <c r="D755" s="9"/>
    </row>
    <row r="756">
      <c r="B756" s="42"/>
      <c r="D756" s="9"/>
    </row>
    <row r="757">
      <c r="B757" s="42"/>
      <c r="D757" s="9"/>
    </row>
    <row r="758">
      <c r="B758" s="42"/>
      <c r="D758" s="9"/>
    </row>
    <row r="759">
      <c r="B759" s="42"/>
      <c r="D759" s="9"/>
    </row>
    <row r="760">
      <c r="B760" s="42"/>
      <c r="D760" s="9"/>
    </row>
    <row r="761">
      <c r="B761" s="42"/>
      <c r="D761" s="9"/>
    </row>
    <row r="762">
      <c r="B762" s="42"/>
      <c r="D762" s="9"/>
    </row>
    <row r="763">
      <c r="B763" s="42"/>
      <c r="D763" s="9"/>
    </row>
    <row r="764">
      <c r="B764" s="42"/>
      <c r="D764" s="9"/>
    </row>
    <row r="765">
      <c r="B765" s="42"/>
      <c r="D765" s="9"/>
    </row>
    <row r="766">
      <c r="B766" s="42"/>
      <c r="D766" s="9"/>
    </row>
    <row r="767">
      <c r="B767" s="42"/>
      <c r="D767" s="9"/>
    </row>
    <row r="768">
      <c r="B768" s="42"/>
      <c r="D768" s="9"/>
    </row>
    <row r="769">
      <c r="B769" s="42"/>
      <c r="D769" s="9"/>
    </row>
    <row r="770">
      <c r="B770" s="42"/>
      <c r="D770" s="9"/>
    </row>
    <row r="771">
      <c r="B771" s="42"/>
      <c r="D771" s="9"/>
    </row>
    <row r="772">
      <c r="B772" s="42"/>
      <c r="D772" s="9"/>
    </row>
    <row r="773">
      <c r="B773" s="42"/>
      <c r="D773" s="9"/>
    </row>
    <row r="774">
      <c r="B774" s="42"/>
      <c r="D774" s="9"/>
    </row>
    <row r="775">
      <c r="B775" s="42"/>
      <c r="D775" s="9"/>
    </row>
    <row r="776">
      <c r="B776" s="42"/>
      <c r="D776" s="9"/>
    </row>
    <row r="777">
      <c r="B777" s="42"/>
      <c r="D777" s="9"/>
    </row>
    <row r="778">
      <c r="B778" s="42"/>
      <c r="D778" s="9"/>
    </row>
    <row r="779">
      <c r="B779" s="42"/>
      <c r="D779" s="9"/>
    </row>
    <row r="780">
      <c r="B780" s="42"/>
      <c r="D780" s="9"/>
    </row>
    <row r="781">
      <c r="B781" s="42"/>
      <c r="D781" s="9"/>
    </row>
    <row r="782">
      <c r="B782" s="42"/>
      <c r="D782" s="9"/>
    </row>
    <row r="783">
      <c r="B783" s="42"/>
      <c r="D783" s="9"/>
    </row>
    <row r="784">
      <c r="B784" s="42"/>
      <c r="D784" s="9"/>
    </row>
    <row r="785">
      <c r="B785" s="42"/>
      <c r="D785" s="9"/>
    </row>
    <row r="786">
      <c r="B786" s="42"/>
      <c r="D786" s="9"/>
    </row>
    <row r="787">
      <c r="B787" s="42"/>
      <c r="D787" s="9"/>
    </row>
    <row r="788">
      <c r="B788" s="42"/>
      <c r="D788" s="9"/>
    </row>
    <row r="789">
      <c r="B789" s="42"/>
      <c r="D789" s="9"/>
    </row>
    <row r="790">
      <c r="B790" s="42"/>
      <c r="D790" s="9"/>
    </row>
    <row r="791">
      <c r="B791" s="42"/>
      <c r="D791" s="9"/>
    </row>
    <row r="792">
      <c r="B792" s="42"/>
      <c r="D792" s="9"/>
    </row>
    <row r="793">
      <c r="B793" s="42"/>
      <c r="D793" s="9"/>
    </row>
    <row r="794">
      <c r="B794" s="42"/>
      <c r="D794" s="9"/>
    </row>
    <row r="795">
      <c r="B795" s="42"/>
      <c r="D795" s="9"/>
    </row>
    <row r="796">
      <c r="B796" s="42"/>
      <c r="D796" s="9"/>
    </row>
    <row r="797">
      <c r="B797" s="42"/>
      <c r="D797" s="9"/>
    </row>
    <row r="798">
      <c r="B798" s="42"/>
      <c r="D798" s="9"/>
    </row>
    <row r="799">
      <c r="B799" s="42"/>
      <c r="D799" s="9"/>
    </row>
    <row r="800">
      <c r="B800" s="42"/>
      <c r="D800" s="9"/>
    </row>
    <row r="801">
      <c r="B801" s="42"/>
      <c r="D801" s="9"/>
    </row>
    <row r="802">
      <c r="B802" s="42"/>
      <c r="D802" s="9"/>
    </row>
    <row r="803">
      <c r="B803" s="42"/>
      <c r="D803" s="9"/>
    </row>
    <row r="804">
      <c r="B804" s="42"/>
      <c r="D804" s="9"/>
    </row>
    <row r="805">
      <c r="B805" s="42"/>
      <c r="D805" s="9"/>
    </row>
    <row r="806">
      <c r="B806" s="42"/>
      <c r="D806" s="9"/>
    </row>
    <row r="807">
      <c r="B807" s="42"/>
      <c r="D807" s="9"/>
    </row>
    <row r="808">
      <c r="B808" s="42"/>
      <c r="D808" s="9"/>
    </row>
    <row r="809">
      <c r="B809" s="42"/>
      <c r="D809" s="9"/>
    </row>
    <row r="810">
      <c r="B810" s="42"/>
      <c r="D810" s="9"/>
    </row>
    <row r="811">
      <c r="B811" s="42"/>
      <c r="D811" s="9"/>
    </row>
    <row r="812">
      <c r="B812" s="42"/>
      <c r="D812" s="9"/>
    </row>
    <row r="813">
      <c r="B813" s="42"/>
      <c r="D813" s="9"/>
    </row>
    <row r="814">
      <c r="B814" s="42"/>
      <c r="D814" s="9"/>
    </row>
    <row r="815">
      <c r="B815" s="42"/>
      <c r="D815" s="9"/>
    </row>
    <row r="816">
      <c r="B816" s="42"/>
      <c r="D816" s="9"/>
    </row>
    <row r="817">
      <c r="B817" s="42"/>
      <c r="D817" s="9"/>
    </row>
    <row r="818">
      <c r="B818" s="42"/>
      <c r="D818" s="9"/>
    </row>
    <row r="819">
      <c r="B819" s="42"/>
      <c r="D819" s="9"/>
    </row>
    <row r="820">
      <c r="B820" s="42"/>
      <c r="D820" s="9"/>
    </row>
    <row r="821">
      <c r="B821" s="42"/>
      <c r="D821" s="9"/>
    </row>
    <row r="822">
      <c r="B822" s="42"/>
      <c r="D822" s="9"/>
    </row>
    <row r="823">
      <c r="B823" s="42"/>
      <c r="D823" s="9"/>
    </row>
    <row r="824">
      <c r="B824" s="42"/>
      <c r="D824" s="9"/>
    </row>
    <row r="825">
      <c r="B825" s="42"/>
      <c r="D825" s="9"/>
    </row>
    <row r="826">
      <c r="B826" s="42"/>
      <c r="D826" s="9"/>
    </row>
    <row r="827">
      <c r="B827" s="42"/>
      <c r="D827" s="9"/>
    </row>
    <row r="828">
      <c r="B828" s="42"/>
      <c r="D828" s="9"/>
    </row>
    <row r="829">
      <c r="B829" s="42"/>
      <c r="D829" s="9"/>
    </row>
    <row r="830">
      <c r="B830" s="42"/>
      <c r="D830" s="9"/>
    </row>
    <row r="831">
      <c r="B831" s="42"/>
      <c r="D831" s="9"/>
    </row>
    <row r="832">
      <c r="B832" s="42"/>
      <c r="D832" s="9"/>
    </row>
    <row r="833">
      <c r="B833" s="42"/>
      <c r="D833" s="9"/>
    </row>
    <row r="834">
      <c r="B834" s="42"/>
      <c r="D834" s="9"/>
    </row>
    <row r="835">
      <c r="B835" s="42"/>
      <c r="D835" s="9"/>
    </row>
    <row r="836">
      <c r="B836" s="42"/>
      <c r="D836" s="9"/>
    </row>
    <row r="837">
      <c r="B837" s="42"/>
      <c r="D837" s="9"/>
    </row>
    <row r="838">
      <c r="B838" s="42"/>
      <c r="D838" s="9"/>
    </row>
    <row r="839">
      <c r="B839" s="42"/>
      <c r="D839" s="9"/>
    </row>
    <row r="840">
      <c r="B840" s="42"/>
      <c r="D840" s="9"/>
    </row>
    <row r="841">
      <c r="B841" s="42"/>
      <c r="D841" s="9"/>
    </row>
    <row r="842">
      <c r="B842" s="42"/>
      <c r="D842" s="9"/>
    </row>
    <row r="843">
      <c r="B843" s="42"/>
      <c r="D843" s="9"/>
    </row>
    <row r="844">
      <c r="B844" s="42"/>
      <c r="D844" s="9"/>
    </row>
    <row r="845">
      <c r="B845" s="42"/>
      <c r="D845" s="9"/>
    </row>
    <row r="846">
      <c r="B846" s="42"/>
      <c r="D846" s="9"/>
    </row>
    <row r="847">
      <c r="B847" s="42"/>
      <c r="D847" s="9"/>
    </row>
    <row r="848">
      <c r="B848" s="42"/>
      <c r="D848" s="9"/>
    </row>
    <row r="849">
      <c r="B849" s="42"/>
      <c r="D849" s="9"/>
    </row>
    <row r="850">
      <c r="B850" s="42"/>
      <c r="D850" s="9"/>
    </row>
    <row r="851">
      <c r="B851" s="42"/>
      <c r="D851" s="9"/>
    </row>
    <row r="852">
      <c r="B852" s="42"/>
      <c r="D852" s="9"/>
    </row>
    <row r="853">
      <c r="B853" s="42"/>
      <c r="D853" s="9"/>
    </row>
    <row r="854">
      <c r="B854" s="42"/>
      <c r="D854" s="9"/>
    </row>
    <row r="855">
      <c r="B855" s="42"/>
      <c r="D855" s="9"/>
    </row>
    <row r="856">
      <c r="B856" s="42"/>
      <c r="D856" s="9"/>
    </row>
    <row r="857">
      <c r="B857" s="42"/>
      <c r="D857" s="9"/>
    </row>
    <row r="858">
      <c r="B858" s="42"/>
      <c r="D858" s="9"/>
    </row>
    <row r="859">
      <c r="B859" s="42"/>
      <c r="D859" s="9"/>
    </row>
    <row r="860">
      <c r="B860" s="42"/>
      <c r="D860" s="9"/>
    </row>
    <row r="861">
      <c r="B861" s="42"/>
      <c r="D861" s="9"/>
    </row>
    <row r="862">
      <c r="B862" s="42"/>
      <c r="D862" s="9"/>
    </row>
    <row r="863">
      <c r="B863" s="42"/>
      <c r="D863" s="9"/>
    </row>
    <row r="864">
      <c r="B864" s="42"/>
      <c r="D864" s="9"/>
    </row>
    <row r="865">
      <c r="B865" s="42"/>
      <c r="D865" s="9"/>
    </row>
    <row r="866">
      <c r="B866" s="42"/>
      <c r="D866" s="9"/>
    </row>
    <row r="867">
      <c r="B867" s="42"/>
      <c r="D867" s="9"/>
    </row>
    <row r="868">
      <c r="B868" s="42"/>
      <c r="D868" s="9"/>
    </row>
    <row r="869">
      <c r="B869" s="42"/>
      <c r="D869" s="9"/>
    </row>
    <row r="870">
      <c r="B870" s="42"/>
      <c r="D870" s="9"/>
    </row>
    <row r="871">
      <c r="B871" s="42"/>
      <c r="D871" s="9"/>
    </row>
    <row r="872">
      <c r="B872" s="42"/>
      <c r="D872" s="9"/>
    </row>
    <row r="873">
      <c r="B873" s="42"/>
      <c r="D873" s="9"/>
    </row>
    <row r="874">
      <c r="B874" s="42"/>
      <c r="D874" s="9"/>
    </row>
    <row r="875">
      <c r="B875" s="42"/>
      <c r="D875" s="9"/>
    </row>
    <row r="876">
      <c r="B876" s="42"/>
      <c r="D876" s="9"/>
    </row>
    <row r="877">
      <c r="B877" s="42"/>
      <c r="D877" s="9"/>
    </row>
    <row r="878">
      <c r="B878" s="42"/>
      <c r="D878" s="9"/>
    </row>
    <row r="879">
      <c r="B879" s="42"/>
      <c r="D879" s="9"/>
    </row>
    <row r="880">
      <c r="B880" s="42"/>
      <c r="D880" s="9"/>
    </row>
    <row r="881">
      <c r="B881" s="42"/>
      <c r="D881" s="9"/>
    </row>
    <row r="882">
      <c r="B882" s="42"/>
      <c r="D882" s="9"/>
    </row>
    <row r="883">
      <c r="B883" s="42"/>
      <c r="D883" s="9"/>
    </row>
    <row r="884">
      <c r="B884" s="42"/>
      <c r="D884" s="9"/>
    </row>
    <row r="885">
      <c r="B885" s="42"/>
      <c r="D885" s="9"/>
    </row>
    <row r="886">
      <c r="B886" s="42"/>
      <c r="D886" s="9"/>
    </row>
    <row r="887">
      <c r="B887" s="42"/>
      <c r="D887" s="9"/>
    </row>
    <row r="888">
      <c r="B888" s="42"/>
      <c r="D888" s="9"/>
    </row>
    <row r="889">
      <c r="B889" s="42"/>
      <c r="D889" s="9"/>
    </row>
    <row r="890">
      <c r="B890" s="42"/>
      <c r="D890" s="9"/>
    </row>
    <row r="891">
      <c r="B891" s="42"/>
      <c r="D891" s="9"/>
    </row>
    <row r="892">
      <c r="B892" s="42"/>
      <c r="D892" s="9"/>
    </row>
    <row r="893">
      <c r="B893" s="42"/>
      <c r="D893" s="9"/>
    </row>
    <row r="894">
      <c r="B894" s="42"/>
      <c r="D894" s="9"/>
    </row>
    <row r="895">
      <c r="B895" s="42"/>
      <c r="D895" s="9"/>
    </row>
    <row r="896">
      <c r="B896" s="42"/>
      <c r="D896" s="9"/>
    </row>
    <row r="897">
      <c r="B897" s="42"/>
      <c r="D897" s="9"/>
    </row>
    <row r="898">
      <c r="B898" s="42"/>
      <c r="D898" s="9"/>
    </row>
    <row r="899">
      <c r="B899" s="42"/>
      <c r="D899" s="9"/>
    </row>
    <row r="900">
      <c r="B900" s="42"/>
      <c r="D900" s="9"/>
    </row>
    <row r="901">
      <c r="B901" s="42"/>
      <c r="D901" s="9"/>
    </row>
    <row r="902">
      <c r="B902" s="42"/>
      <c r="D902" s="9"/>
    </row>
    <row r="903">
      <c r="B903" s="42"/>
      <c r="D903" s="9"/>
    </row>
    <row r="904">
      <c r="B904" s="42"/>
      <c r="D904" s="9"/>
    </row>
    <row r="905">
      <c r="B905" s="42"/>
      <c r="D905" s="9"/>
    </row>
    <row r="906">
      <c r="B906" s="42"/>
      <c r="D906" s="9"/>
    </row>
    <row r="907">
      <c r="B907" s="42"/>
      <c r="D907" s="9"/>
    </row>
    <row r="908">
      <c r="B908" s="42"/>
      <c r="D908" s="9"/>
    </row>
    <row r="909">
      <c r="B909" s="42"/>
      <c r="D909" s="9"/>
    </row>
    <row r="910">
      <c r="B910" s="42"/>
      <c r="D910" s="9"/>
    </row>
    <row r="911">
      <c r="B911" s="42"/>
      <c r="D911" s="9"/>
    </row>
    <row r="912">
      <c r="B912" s="42"/>
      <c r="D912" s="9"/>
    </row>
    <row r="913">
      <c r="B913" s="42"/>
      <c r="D913" s="9"/>
    </row>
    <row r="914">
      <c r="B914" s="42"/>
      <c r="D914" s="9"/>
    </row>
    <row r="915">
      <c r="B915" s="42"/>
      <c r="D915" s="9"/>
    </row>
    <row r="916">
      <c r="B916" s="42"/>
      <c r="D916" s="9"/>
    </row>
    <row r="917">
      <c r="B917" s="42"/>
      <c r="D917" s="9"/>
    </row>
    <row r="918">
      <c r="B918" s="42"/>
      <c r="D918" s="9"/>
    </row>
    <row r="919">
      <c r="B919" s="42"/>
      <c r="D919" s="9"/>
    </row>
    <row r="920">
      <c r="B920" s="42"/>
      <c r="D920" s="9"/>
    </row>
    <row r="921">
      <c r="B921" s="42"/>
      <c r="D921" s="9"/>
    </row>
    <row r="922">
      <c r="B922" s="42"/>
      <c r="D922" s="9"/>
    </row>
    <row r="923">
      <c r="B923" s="42"/>
      <c r="D923" s="9"/>
    </row>
    <row r="924">
      <c r="B924" s="42"/>
      <c r="D924" s="9"/>
    </row>
    <row r="925">
      <c r="B925" s="42"/>
      <c r="D925" s="9"/>
    </row>
    <row r="926">
      <c r="B926" s="42"/>
      <c r="D926" s="9"/>
    </row>
    <row r="927">
      <c r="B927" s="42"/>
      <c r="D927" s="9"/>
    </row>
    <row r="928">
      <c r="B928" s="42"/>
      <c r="D928" s="9"/>
    </row>
    <row r="929">
      <c r="B929" s="42"/>
      <c r="D929" s="9"/>
    </row>
    <row r="930">
      <c r="B930" s="42"/>
      <c r="D930" s="9"/>
    </row>
    <row r="931">
      <c r="B931" s="42"/>
      <c r="D931" s="9"/>
    </row>
    <row r="932">
      <c r="B932" s="42"/>
      <c r="D932" s="9"/>
    </row>
    <row r="933">
      <c r="B933" s="42"/>
      <c r="D933" s="9"/>
    </row>
    <row r="934">
      <c r="B934" s="42"/>
      <c r="D934" s="9"/>
    </row>
    <row r="935">
      <c r="B935" s="42"/>
      <c r="D935" s="9"/>
    </row>
    <row r="936">
      <c r="B936" s="42"/>
      <c r="D936" s="9"/>
    </row>
    <row r="937">
      <c r="B937" s="42"/>
      <c r="D937" s="9"/>
    </row>
    <row r="938">
      <c r="B938" s="42"/>
      <c r="D938" s="9"/>
    </row>
    <row r="939">
      <c r="B939" s="42"/>
      <c r="D939" s="9"/>
    </row>
    <row r="940">
      <c r="B940" s="42"/>
      <c r="D940" s="9"/>
    </row>
    <row r="941">
      <c r="B941" s="42"/>
      <c r="D941" s="9"/>
    </row>
    <row r="942">
      <c r="B942" s="42"/>
      <c r="D942" s="9"/>
    </row>
    <row r="943">
      <c r="B943" s="42"/>
      <c r="D943" s="9"/>
    </row>
    <row r="944">
      <c r="B944" s="42"/>
      <c r="D944" s="9"/>
    </row>
    <row r="945">
      <c r="B945" s="42"/>
      <c r="D945" s="9"/>
    </row>
    <row r="946">
      <c r="B946" s="42"/>
      <c r="D946" s="9"/>
    </row>
    <row r="947">
      <c r="B947" s="42"/>
      <c r="D947" s="9"/>
    </row>
    <row r="948">
      <c r="B948" s="42"/>
      <c r="D948" s="9"/>
    </row>
    <row r="949">
      <c r="B949" s="42"/>
      <c r="D949" s="9"/>
    </row>
    <row r="950">
      <c r="B950" s="42"/>
      <c r="D950" s="9"/>
    </row>
    <row r="951">
      <c r="B951" s="42"/>
      <c r="D951" s="9"/>
    </row>
    <row r="952">
      <c r="B952" s="42"/>
      <c r="D952" s="9"/>
    </row>
    <row r="953">
      <c r="B953" s="42"/>
      <c r="D953" s="9"/>
    </row>
    <row r="954">
      <c r="B954" s="42"/>
      <c r="D954" s="9"/>
    </row>
    <row r="955">
      <c r="B955" s="42"/>
      <c r="D955" s="9"/>
    </row>
    <row r="956">
      <c r="B956" s="42"/>
      <c r="D956" s="9"/>
    </row>
    <row r="957">
      <c r="B957" s="42"/>
      <c r="D957" s="9"/>
    </row>
    <row r="958">
      <c r="B958" s="42"/>
      <c r="D958" s="9"/>
    </row>
    <row r="959">
      <c r="B959" s="42"/>
      <c r="D959" s="9"/>
    </row>
    <row r="960">
      <c r="B960" s="42"/>
      <c r="D960" s="9"/>
    </row>
    <row r="961">
      <c r="B961" s="42"/>
      <c r="D961" s="9"/>
    </row>
    <row r="962">
      <c r="B962" s="42"/>
      <c r="D962" s="9"/>
    </row>
    <row r="963">
      <c r="B963" s="42"/>
      <c r="D963" s="9"/>
    </row>
    <row r="964">
      <c r="B964" s="42"/>
      <c r="D964" s="9"/>
    </row>
    <row r="965">
      <c r="B965" s="42"/>
      <c r="D965" s="9"/>
    </row>
    <row r="966">
      <c r="B966" s="42"/>
      <c r="D966" s="9"/>
    </row>
    <row r="967">
      <c r="B967" s="42"/>
      <c r="D967" s="9"/>
    </row>
    <row r="968">
      <c r="B968" s="42"/>
      <c r="D968" s="9"/>
    </row>
    <row r="969">
      <c r="B969" s="42"/>
      <c r="D969" s="9"/>
    </row>
    <row r="970">
      <c r="B970" s="42"/>
      <c r="D970" s="9"/>
    </row>
    <row r="971">
      <c r="B971" s="42"/>
      <c r="D971" s="9"/>
    </row>
    <row r="972">
      <c r="B972" s="42"/>
      <c r="D972" s="9"/>
    </row>
    <row r="973">
      <c r="B973" s="42"/>
      <c r="D973" s="9"/>
    </row>
    <row r="974">
      <c r="B974" s="42"/>
      <c r="D974" s="9"/>
    </row>
    <row r="975">
      <c r="B975" s="42"/>
      <c r="D975" s="9"/>
    </row>
    <row r="976">
      <c r="B976" s="42"/>
      <c r="D976" s="9"/>
    </row>
    <row r="977">
      <c r="B977" s="42"/>
      <c r="D977" s="9"/>
    </row>
    <row r="978">
      <c r="B978" s="42"/>
      <c r="D978" s="9"/>
    </row>
    <row r="979">
      <c r="B979" s="42"/>
      <c r="D979" s="9"/>
    </row>
    <row r="980">
      <c r="B980" s="42"/>
      <c r="D980" s="9"/>
    </row>
    <row r="981">
      <c r="B981" s="42"/>
      <c r="D981" s="9"/>
    </row>
    <row r="982">
      <c r="B982" s="42"/>
      <c r="D982" s="9"/>
    </row>
    <row r="983">
      <c r="B983" s="42"/>
      <c r="D983" s="9"/>
    </row>
    <row r="984">
      <c r="B984" s="42"/>
      <c r="D984" s="9"/>
    </row>
    <row r="985">
      <c r="B985" s="42"/>
      <c r="D985" s="9"/>
    </row>
    <row r="986">
      <c r="B986" s="42"/>
      <c r="D986" s="9"/>
    </row>
    <row r="987">
      <c r="B987" s="42"/>
      <c r="D987" s="9"/>
    </row>
    <row r="988">
      <c r="B988" s="42"/>
      <c r="D988" s="9"/>
    </row>
    <row r="989">
      <c r="B989" s="42"/>
      <c r="D989" s="9"/>
    </row>
    <row r="990">
      <c r="B990" s="42"/>
      <c r="D990" s="9"/>
    </row>
    <row r="991">
      <c r="B991" s="42"/>
      <c r="D991" s="9"/>
    </row>
    <row r="992">
      <c r="B992" s="42"/>
      <c r="D992" s="9"/>
    </row>
    <row r="993">
      <c r="B993" s="42"/>
      <c r="D993" s="9"/>
    </row>
    <row r="994">
      <c r="B994" s="42"/>
      <c r="D994" s="9"/>
    </row>
    <row r="995">
      <c r="B995" s="42"/>
      <c r="D995" s="9"/>
    </row>
    <row r="996">
      <c r="B996" s="42"/>
      <c r="D996" s="9"/>
    </row>
    <row r="997">
      <c r="B997" s="42"/>
      <c r="D997" s="9"/>
    </row>
    <row r="998">
      <c r="B998" s="42"/>
      <c r="D998" s="9"/>
    </row>
    <row r="999">
      <c r="B999" s="42"/>
      <c r="D999" s="9"/>
    </row>
    <row r="1000">
      <c r="B1000" s="42"/>
      <c r="D1000" s="9"/>
    </row>
    <row r="1001">
      <c r="B1001" s="42"/>
      <c r="D1001" s="9"/>
    </row>
    <row r="1002">
      <c r="B1002" s="42"/>
      <c r="D1002" s="9"/>
    </row>
    <row r="1003">
      <c r="B1003" s="42"/>
      <c r="D1003" s="9"/>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60</v>
      </c>
      <c r="D1" s="7" t="s">
        <v>61</v>
      </c>
      <c r="E1" s="9"/>
      <c r="F1" s="9"/>
      <c r="G1" s="9"/>
      <c r="H1" s="9"/>
      <c r="I1" s="9"/>
      <c r="J1" s="9"/>
      <c r="K1" s="9"/>
      <c r="L1" s="9"/>
      <c r="M1" s="9"/>
      <c r="N1" s="9"/>
      <c r="O1" s="9"/>
      <c r="P1" s="9"/>
      <c r="Q1" s="9"/>
      <c r="R1" s="9"/>
      <c r="S1" s="9"/>
      <c r="T1" s="9"/>
      <c r="U1" s="9"/>
      <c r="V1" s="9"/>
      <c r="W1" s="9"/>
      <c r="X1" s="9"/>
      <c r="Y1" s="9"/>
      <c r="Z1" s="9"/>
    </row>
    <row r="2">
      <c r="A2" s="8">
        <v>45986.0</v>
      </c>
      <c r="B2" s="6">
        <v>87342.0</v>
      </c>
      <c r="C2" s="58">
        <f t="shared" ref="C2:C20" si="1">(B3 - B2) / B2 * 100</f>
        <v>1.063634906</v>
      </c>
      <c r="D2" s="9">
        <f>(91466 - 84648) / 84648 * 100</f>
        <v>8.054531708</v>
      </c>
      <c r="E2" s="9"/>
      <c r="F2" s="9"/>
      <c r="G2" s="9"/>
      <c r="H2" s="9"/>
      <c r="I2" s="9"/>
      <c r="J2" s="9"/>
      <c r="K2" s="9"/>
      <c r="L2" s="9"/>
      <c r="M2" s="9"/>
      <c r="N2" s="9"/>
      <c r="O2" s="9"/>
      <c r="P2" s="9"/>
      <c r="Q2" s="9"/>
      <c r="R2" s="9"/>
      <c r="S2" s="9"/>
      <c r="T2" s="9"/>
      <c r="U2" s="9"/>
      <c r="V2" s="9"/>
      <c r="W2" s="9"/>
      <c r="X2" s="9"/>
      <c r="Y2" s="9"/>
      <c r="Z2" s="9"/>
    </row>
    <row r="3">
      <c r="A3" s="10">
        <v>45985.0</v>
      </c>
      <c r="B3" s="6">
        <v>88271.0</v>
      </c>
      <c r="C3" s="58">
        <f t="shared" si="1"/>
        <v>0.6661304392</v>
      </c>
      <c r="D3" s="9"/>
      <c r="E3" s="9"/>
      <c r="F3" s="9"/>
      <c r="G3" s="9"/>
      <c r="H3" s="9"/>
      <c r="I3" s="9"/>
      <c r="J3" s="9"/>
      <c r="K3" s="9"/>
      <c r="L3" s="9"/>
      <c r="M3" s="9"/>
      <c r="N3" s="9"/>
      <c r="O3" s="9"/>
      <c r="P3" s="9"/>
      <c r="Q3" s="9"/>
      <c r="R3" s="9"/>
      <c r="S3" s="9"/>
      <c r="T3" s="9"/>
      <c r="U3" s="9"/>
      <c r="V3" s="9"/>
      <c r="W3" s="9"/>
      <c r="X3" s="9"/>
      <c r="Y3" s="9"/>
      <c r="Z3" s="9"/>
    </row>
    <row r="4">
      <c r="A4" s="11">
        <v>45984.0</v>
      </c>
      <c r="B4" s="12">
        <v>88859.0</v>
      </c>
      <c r="C4" s="58">
        <f t="shared" si="1"/>
        <v>-4.738968478</v>
      </c>
      <c r="D4" s="9"/>
      <c r="E4" s="9"/>
      <c r="F4" s="9"/>
      <c r="G4" s="9"/>
      <c r="H4" s="9"/>
      <c r="I4" s="9"/>
      <c r="J4" s="9"/>
      <c r="K4" s="9"/>
      <c r="L4" s="9"/>
      <c r="M4" s="9"/>
      <c r="N4" s="9"/>
      <c r="O4" s="9"/>
      <c r="P4" s="9"/>
      <c r="Q4" s="9"/>
      <c r="R4" s="9"/>
      <c r="S4" s="9"/>
      <c r="T4" s="9"/>
      <c r="U4" s="9"/>
      <c r="V4" s="9"/>
      <c r="W4" s="9"/>
      <c r="X4" s="9"/>
      <c r="Y4" s="9"/>
      <c r="Z4" s="9"/>
    </row>
    <row r="5">
      <c r="A5" s="13">
        <v>45983.0</v>
      </c>
      <c r="B5" s="14">
        <v>84648.0</v>
      </c>
      <c r="C5" s="58">
        <f t="shared" si="1"/>
        <v>0.5233437293</v>
      </c>
      <c r="D5" s="9"/>
      <c r="E5" s="9"/>
      <c r="F5" s="9"/>
      <c r="G5" s="9"/>
      <c r="H5" s="9"/>
      <c r="I5" s="9"/>
      <c r="J5" s="9"/>
      <c r="K5" s="9"/>
      <c r="L5" s="9"/>
      <c r="M5" s="9"/>
      <c r="N5" s="9"/>
      <c r="O5" s="9"/>
      <c r="P5" s="9"/>
      <c r="Q5" s="9"/>
      <c r="R5" s="9"/>
      <c r="S5" s="9"/>
      <c r="T5" s="9"/>
      <c r="U5" s="9"/>
      <c r="V5" s="9"/>
      <c r="W5" s="9"/>
      <c r="X5" s="9"/>
      <c r="Y5" s="9"/>
      <c r="Z5" s="9"/>
    </row>
    <row r="6">
      <c r="A6" s="13">
        <v>45982.0</v>
      </c>
      <c r="B6" s="14">
        <v>85091.0</v>
      </c>
      <c r="C6" s="58">
        <f t="shared" si="1"/>
        <v>1.809827126</v>
      </c>
      <c r="D6" s="9"/>
      <c r="E6" s="9"/>
      <c r="F6" s="9"/>
      <c r="G6" s="9"/>
      <c r="H6" s="9"/>
      <c r="I6" s="9"/>
      <c r="J6" s="9"/>
      <c r="K6" s="9"/>
      <c r="L6" s="9"/>
      <c r="M6" s="9"/>
      <c r="N6" s="9"/>
      <c r="O6" s="9"/>
      <c r="P6" s="9"/>
      <c r="Q6" s="9"/>
      <c r="R6" s="9"/>
      <c r="S6" s="9"/>
      <c r="T6" s="9"/>
      <c r="U6" s="9"/>
      <c r="V6" s="9"/>
      <c r="W6" s="9"/>
      <c r="X6" s="9"/>
      <c r="Y6" s="9"/>
      <c r="Z6" s="9"/>
    </row>
    <row r="7">
      <c r="A7" s="13">
        <v>45981.0</v>
      </c>
      <c r="B7" s="14">
        <v>86631.0</v>
      </c>
      <c r="C7" s="58">
        <f t="shared" si="1"/>
        <v>5.581143009</v>
      </c>
      <c r="D7" s="9"/>
      <c r="E7" s="9"/>
      <c r="F7" s="9"/>
      <c r="G7" s="9"/>
      <c r="H7" s="9"/>
      <c r="I7" s="9"/>
      <c r="J7" s="9"/>
      <c r="K7" s="9"/>
      <c r="L7" s="9"/>
      <c r="M7" s="9"/>
      <c r="N7" s="9"/>
      <c r="O7" s="9"/>
      <c r="P7" s="9"/>
      <c r="Q7" s="9"/>
      <c r="R7" s="9"/>
      <c r="S7" s="9"/>
      <c r="T7" s="9"/>
      <c r="U7" s="9"/>
      <c r="V7" s="9"/>
      <c r="W7" s="9"/>
      <c r="X7" s="9"/>
      <c r="Y7" s="9"/>
      <c r="Z7" s="9"/>
    </row>
    <row r="8">
      <c r="A8" s="13">
        <v>45980.0</v>
      </c>
      <c r="B8" s="21">
        <v>91466.0</v>
      </c>
      <c r="C8" s="58">
        <f t="shared" si="1"/>
        <v>1.621367503</v>
      </c>
      <c r="D8" s="9"/>
      <c r="E8" s="9"/>
      <c r="F8" s="9"/>
      <c r="G8" s="9"/>
      <c r="H8" s="9"/>
      <c r="I8" s="9"/>
      <c r="J8" s="9"/>
      <c r="K8" s="9"/>
      <c r="L8" s="9"/>
      <c r="M8" s="9"/>
      <c r="N8" s="9"/>
      <c r="O8" s="9"/>
      <c r="P8" s="9"/>
      <c r="Q8" s="9"/>
      <c r="R8" s="9"/>
      <c r="S8" s="9"/>
      <c r="T8" s="9"/>
      <c r="U8" s="9"/>
      <c r="V8" s="9"/>
      <c r="W8" s="9"/>
      <c r="X8" s="9"/>
      <c r="Y8" s="9"/>
      <c r="Z8" s="9"/>
    </row>
    <row r="9">
      <c r="A9" s="13">
        <v>45979.0</v>
      </c>
      <c r="B9" s="21">
        <v>92949.0</v>
      </c>
      <c r="C9" s="58">
        <f t="shared" si="1"/>
        <v>-0.9198592777</v>
      </c>
      <c r="D9" s="9"/>
      <c r="E9" s="9"/>
      <c r="F9" s="9"/>
      <c r="G9" s="9"/>
      <c r="H9" s="9"/>
      <c r="I9" s="9"/>
      <c r="J9" s="9"/>
      <c r="K9" s="9"/>
      <c r="L9" s="9"/>
      <c r="M9" s="9"/>
      <c r="N9" s="9"/>
      <c r="O9" s="9"/>
      <c r="P9" s="9"/>
      <c r="Q9" s="9"/>
      <c r="R9" s="9"/>
      <c r="S9" s="9"/>
      <c r="T9" s="9"/>
      <c r="U9" s="9"/>
      <c r="V9" s="9"/>
      <c r="W9" s="9"/>
      <c r="X9" s="9"/>
      <c r="Y9" s="9"/>
      <c r="Z9" s="9"/>
    </row>
    <row r="10">
      <c r="A10" s="13">
        <v>45978.0</v>
      </c>
      <c r="B10" s="14">
        <v>92094.0</v>
      </c>
      <c r="C10" s="58">
        <f t="shared" si="1"/>
        <v>2.261819445</v>
      </c>
      <c r="D10" s="9"/>
      <c r="E10" s="9"/>
      <c r="F10" s="9"/>
      <c r="G10" s="9"/>
      <c r="H10" s="9"/>
      <c r="I10" s="9"/>
      <c r="J10" s="9"/>
      <c r="K10" s="9"/>
      <c r="L10" s="9"/>
      <c r="M10" s="9"/>
      <c r="N10" s="9"/>
      <c r="O10" s="9"/>
      <c r="P10" s="9"/>
      <c r="Q10" s="9"/>
      <c r="R10" s="9"/>
      <c r="S10" s="9"/>
      <c r="T10" s="9"/>
      <c r="U10" s="9"/>
      <c r="V10" s="9"/>
      <c r="W10" s="9"/>
      <c r="X10" s="9"/>
      <c r="Y10" s="9"/>
      <c r="Z10" s="9"/>
    </row>
    <row r="11">
      <c r="A11" s="13">
        <v>45977.0</v>
      </c>
      <c r="B11" s="23">
        <v>94177.0</v>
      </c>
      <c r="C11" s="58">
        <f t="shared" si="1"/>
        <v>1.456831286</v>
      </c>
      <c r="D11" s="9"/>
      <c r="E11" s="9"/>
      <c r="F11" s="9"/>
      <c r="G11" s="9"/>
      <c r="H11" s="9"/>
      <c r="I11" s="9"/>
      <c r="J11" s="9"/>
      <c r="K11" s="9"/>
      <c r="L11" s="9"/>
      <c r="M11" s="9"/>
      <c r="N11" s="9"/>
      <c r="O11" s="9"/>
      <c r="P11" s="9"/>
      <c r="Q11" s="9"/>
      <c r="R11" s="9"/>
      <c r="S11" s="9"/>
      <c r="T11" s="9"/>
      <c r="U11" s="9"/>
      <c r="V11" s="9"/>
      <c r="W11" s="9"/>
      <c r="X11" s="9"/>
      <c r="Y11" s="9"/>
      <c r="Z11" s="9"/>
    </row>
    <row r="12">
      <c r="A12" s="13">
        <v>45976.0</v>
      </c>
      <c r="B12" s="23">
        <v>95549.0</v>
      </c>
      <c r="C12" s="58">
        <f t="shared" si="1"/>
        <v>-1.204617526</v>
      </c>
      <c r="D12" s="9"/>
      <c r="E12" s="9"/>
      <c r="F12" s="9"/>
      <c r="G12" s="9"/>
      <c r="H12" s="9"/>
      <c r="I12" s="9"/>
      <c r="J12" s="9"/>
      <c r="K12" s="9"/>
      <c r="L12" s="9"/>
      <c r="M12" s="9"/>
      <c r="N12" s="9"/>
      <c r="O12" s="9"/>
      <c r="P12" s="9"/>
      <c r="Q12" s="9"/>
      <c r="R12" s="9"/>
      <c r="S12" s="9"/>
      <c r="T12" s="9"/>
      <c r="U12" s="9"/>
      <c r="V12" s="9"/>
      <c r="W12" s="9"/>
      <c r="X12" s="9"/>
      <c r="Y12" s="9"/>
      <c r="Z12" s="9"/>
    </row>
    <row r="13">
      <c r="A13" s="13">
        <v>45975.0</v>
      </c>
      <c r="B13" s="23">
        <v>94398.0</v>
      </c>
      <c r="C13" s="58">
        <f t="shared" si="1"/>
        <v>5.613466387</v>
      </c>
      <c r="D13" s="9"/>
      <c r="E13" s="9"/>
      <c r="F13" s="9"/>
      <c r="G13" s="9"/>
      <c r="H13" s="9"/>
      <c r="I13" s="9"/>
      <c r="J13" s="9"/>
      <c r="K13" s="9"/>
      <c r="L13" s="9"/>
      <c r="M13" s="9"/>
      <c r="N13" s="9"/>
      <c r="O13" s="9"/>
      <c r="P13" s="9"/>
      <c r="Q13" s="9"/>
      <c r="R13" s="9"/>
      <c r="S13" s="9"/>
      <c r="T13" s="9"/>
      <c r="U13" s="9"/>
      <c r="V13" s="9"/>
      <c r="W13" s="9"/>
      <c r="X13" s="9"/>
      <c r="Y13" s="9"/>
      <c r="Z13" s="9"/>
    </row>
    <row r="14">
      <c r="A14" s="13">
        <v>45974.0</v>
      </c>
      <c r="B14" s="23">
        <v>99697.0</v>
      </c>
      <c r="C14" s="58">
        <f t="shared" si="1"/>
        <v>1.971975085</v>
      </c>
      <c r="D14" s="9"/>
      <c r="E14" s="9"/>
      <c r="F14" s="9"/>
      <c r="G14" s="9"/>
      <c r="H14" s="9"/>
      <c r="I14" s="9"/>
      <c r="J14" s="9"/>
      <c r="K14" s="9"/>
      <c r="L14" s="9"/>
      <c r="M14" s="9"/>
      <c r="N14" s="9"/>
      <c r="O14" s="9"/>
      <c r="P14" s="9"/>
      <c r="Q14" s="9"/>
      <c r="R14" s="9"/>
      <c r="S14" s="9"/>
      <c r="T14" s="9"/>
      <c r="U14" s="9"/>
      <c r="V14" s="9"/>
      <c r="W14" s="9"/>
      <c r="X14" s="9"/>
      <c r="Y14" s="9"/>
      <c r="Z14" s="9"/>
    </row>
    <row r="15">
      <c r="A15" s="13">
        <v>45973.0</v>
      </c>
      <c r="B15" s="23">
        <v>101663.0</v>
      </c>
      <c r="C15" s="58">
        <f t="shared" si="1"/>
        <v>1.312178472</v>
      </c>
      <c r="D15" s="9"/>
      <c r="E15" s="9"/>
      <c r="F15" s="9"/>
      <c r="G15" s="9"/>
      <c r="H15" s="9"/>
      <c r="I15" s="9"/>
      <c r="J15" s="9"/>
      <c r="K15" s="9"/>
      <c r="L15" s="9"/>
      <c r="M15" s="9"/>
      <c r="N15" s="9"/>
      <c r="O15" s="9"/>
      <c r="P15" s="9"/>
      <c r="Q15" s="9"/>
      <c r="R15" s="9"/>
      <c r="S15" s="9"/>
      <c r="T15" s="9"/>
      <c r="U15" s="9"/>
      <c r="V15" s="9"/>
      <c r="W15" s="9"/>
      <c r="X15" s="9"/>
      <c r="Y15" s="9"/>
      <c r="Z15" s="9"/>
    </row>
    <row r="16">
      <c r="A16" s="13">
        <v>45972.0</v>
      </c>
      <c r="B16" s="23">
        <v>102997.0</v>
      </c>
      <c r="C16" s="58">
        <f t="shared" si="1"/>
        <v>2.912706195</v>
      </c>
      <c r="D16" s="9"/>
      <c r="E16" s="9"/>
      <c r="F16" s="9"/>
      <c r="G16" s="9"/>
      <c r="H16" s="9"/>
      <c r="I16" s="9"/>
      <c r="J16" s="9"/>
      <c r="K16" s="9"/>
      <c r="L16" s="9"/>
      <c r="M16" s="9"/>
      <c r="N16" s="9"/>
      <c r="O16" s="9"/>
      <c r="P16" s="9"/>
      <c r="Q16" s="9"/>
      <c r="R16" s="9"/>
      <c r="S16" s="9"/>
      <c r="T16" s="9"/>
      <c r="U16" s="9"/>
      <c r="V16" s="9"/>
      <c r="W16" s="9"/>
      <c r="X16" s="9"/>
      <c r="Y16" s="9"/>
      <c r="Z16" s="9"/>
    </row>
    <row r="17">
      <c r="A17" s="13">
        <v>45971.0</v>
      </c>
      <c r="B17" s="23">
        <v>105997.0</v>
      </c>
      <c r="C17" s="58">
        <f t="shared" si="1"/>
        <v>-1.204751078</v>
      </c>
      <c r="D17" s="9"/>
      <c r="E17" s="9"/>
      <c r="F17" s="9"/>
      <c r="G17" s="9"/>
      <c r="H17" s="9"/>
      <c r="I17" s="9"/>
      <c r="J17" s="9"/>
      <c r="K17" s="9"/>
      <c r="L17" s="9"/>
      <c r="M17" s="9"/>
      <c r="N17" s="9"/>
      <c r="O17" s="9"/>
      <c r="P17" s="9"/>
      <c r="Q17" s="9"/>
      <c r="R17" s="9"/>
      <c r="S17" s="9"/>
      <c r="T17" s="9"/>
      <c r="U17" s="9"/>
      <c r="V17" s="9"/>
      <c r="W17" s="9"/>
      <c r="X17" s="9"/>
      <c r="Y17" s="9"/>
      <c r="Z17" s="9"/>
    </row>
    <row r="18">
      <c r="A18" s="24">
        <v>45970.0</v>
      </c>
      <c r="B18" s="23">
        <v>104720.0</v>
      </c>
      <c r="C18" s="58">
        <f t="shared" si="1"/>
        <v>-2.328113063</v>
      </c>
      <c r="D18" s="9"/>
      <c r="E18" s="9"/>
      <c r="F18" s="9"/>
      <c r="G18" s="9"/>
      <c r="H18" s="9"/>
      <c r="I18" s="9"/>
      <c r="J18" s="9"/>
      <c r="K18" s="9"/>
      <c r="L18" s="9"/>
      <c r="M18" s="9"/>
      <c r="N18" s="9"/>
      <c r="O18" s="9"/>
      <c r="P18" s="9"/>
      <c r="Q18" s="9"/>
      <c r="R18" s="9"/>
      <c r="S18" s="9"/>
      <c r="T18" s="9"/>
      <c r="U18" s="9"/>
      <c r="V18" s="9"/>
      <c r="W18" s="9"/>
      <c r="X18" s="9"/>
      <c r="Y18" s="9"/>
      <c r="Z18" s="9"/>
    </row>
    <row r="19">
      <c r="A19" s="24">
        <v>45969.0</v>
      </c>
      <c r="B19" s="23">
        <v>102282.0</v>
      </c>
      <c r="C19" s="58">
        <f t="shared" si="1"/>
        <v>1.065681156</v>
      </c>
      <c r="D19" s="9"/>
      <c r="E19" s="9"/>
      <c r="F19" s="9"/>
      <c r="G19" s="9"/>
      <c r="H19" s="9"/>
      <c r="I19" s="9"/>
      <c r="J19" s="9"/>
      <c r="K19" s="9"/>
      <c r="L19" s="9"/>
      <c r="M19" s="9"/>
      <c r="N19" s="9"/>
      <c r="O19" s="9"/>
      <c r="P19" s="9"/>
      <c r="Q19" s="9"/>
      <c r="R19" s="9"/>
      <c r="S19" s="9"/>
      <c r="T19" s="9"/>
      <c r="U19" s="9"/>
      <c r="V19" s="9"/>
      <c r="W19" s="9"/>
      <c r="X19" s="9"/>
      <c r="Y19" s="9"/>
      <c r="Z19" s="9"/>
    </row>
    <row r="20">
      <c r="A20" s="24">
        <v>45968.0</v>
      </c>
      <c r="B20" s="23">
        <v>103372.0</v>
      </c>
      <c r="C20" s="58">
        <f t="shared" si="1"/>
        <v>-100</v>
      </c>
      <c r="D20" s="9"/>
      <c r="E20" s="9"/>
      <c r="F20" s="9"/>
      <c r="G20" s="9"/>
      <c r="H20" s="9"/>
      <c r="I20" s="9"/>
      <c r="J20" s="9"/>
      <c r="K20" s="9"/>
      <c r="L20" s="9"/>
      <c r="M20" s="9"/>
      <c r="N20" s="9"/>
      <c r="O20" s="9"/>
      <c r="P20" s="9"/>
      <c r="Q20" s="9"/>
      <c r="R20" s="9"/>
      <c r="S20" s="9"/>
      <c r="T20" s="9"/>
      <c r="U20" s="9"/>
      <c r="V20" s="9"/>
      <c r="W20" s="9"/>
      <c r="X20" s="9"/>
      <c r="Y20" s="9"/>
      <c r="Z20" s="9"/>
    </row>
    <row r="21">
      <c r="A21" s="25"/>
      <c r="B21" s="26"/>
      <c r="C21" s="9"/>
      <c r="D21" s="9"/>
      <c r="E21" s="9"/>
      <c r="F21" s="9"/>
      <c r="G21" s="9"/>
      <c r="H21" s="9"/>
      <c r="I21" s="9"/>
      <c r="J21" s="9"/>
      <c r="K21" s="9"/>
      <c r="L21" s="9"/>
      <c r="M21" s="9"/>
      <c r="N21" s="9"/>
      <c r="O21" s="9"/>
      <c r="P21" s="9"/>
      <c r="Q21" s="9"/>
      <c r="R21" s="9"/>
      <c r="S21" s="9"/>
      <c r="T21" s="9"/>
      <c r="U21" s="9"/>
      <c r="V21" s="9"/>
      <c r="W21" s="9"/>
      <c r="X21" s="9"/>
      <c r="Y21" s="9"/>
      <c r="Z21" s="9"/>
    </row>
    <row r="22">
      <c r="A22" s="27"/>
      <c r="B22" s="26"/>
      <c r="C22" s="9"/>
      <c r="D22" s="9"/>
      <c r="E22" s="9"/>
      <c r="F22" s="9"/>
      <c r="G22" s="9"/>
      <c r="H22" s="9"/>
      <c r="I22" s="9"/>
      <c r="J22" s="9"/>
      <c r="K22" s="9"/>
      <c r="L22" s="9"/>
      <c r="M22" s="9"/>
      <c r="N22" s="9"/>
      <c r="O22" s="9"/>
      <c r="P22" s="9"/>
      <c r="Q22" s="9"/>
      <c r="R22" s="9"/>
      <c r="S22" s="9"/>
      <c r="T22" s="9"/>
      <c r="U22" s="9"/>
      <c r="V22" s="9"/>
      <c r="W22" s="9"/>
      <c r="X22" s="9"/>
      <c r="Y22" s="9"/>
      <c r="Z22" s="9"/>
    </row>
    <row r="23">
      <c r="A23" s="27"/>
      <c r="B23" s="28"/>
      <c r="C23" s="9"/>
      <c r="D23" s="9"/>
      <c r="E23" s="9"/>
      <c r="F23" s="9"/>
      <c r="G23" s="9"/>
      <c r="H23" s="9"/>
      <c r="I23" s="9"/>
      <c r="J23" s="9"/>
      <c r="K23" s="9"/>
      <c r="L23" s="9"/>
      <c r="M23" s="9"/>
      <c r="N23" s="9"/>
      <c r="O23" s="9"/>
      <c r="P23" s="9"/>
      <c r="Q23" s="9"/>
      <c r="R23" s="9"/>
      <c r="S23" s="9"/>
      <c r="T23" s="9"/>
      <c r="U23" s="9"/>
      <c r="V23" s="9"/>
      <c r="W23" s="9"/>
      <c r="X23" s="9"/>
      <c r="Y23" s="9"/>
      <c r="Z23" s="9"/>
    </row>
    <row r="24">
      <c r="A24" s="27"/>
      <c r="B24" s="28"/>
      <c r="C24" s="9"/>
      <c r="D24" s="9"/>
      <c r="E24" s="9"/>
      <c r="F24" s="9"/>
      <c r="G24" s="9"/>
      <c r="H24" s="9"/>
      <c r="I24" s="9"/>
      <c r="J24" s="9"/>
      <c r="K24" s="9"/>
      <c r="L24" s="9"/>
      <c r="M24" s="9"/>
      <c r="N24" s="9"/>
      <c r="O24" s="9"/>
      <c r="P24" s="9"/>
      <c r="Q24" s="9"/>
      <c r="R24" s="9"/>
      <c r="S24" s="9"/>
      <c r="T24" s="9"/>
      <c r="U24" s="9"/>
      <c r="V24" s="9"/>
      <c r="W24" s="9"/>
      <c r="X24" s="9"/>
      <c r="Y24" s="9"/>
      <c r="Z24" s="9"/>
    </row>
    <row r="25">
      <c r="A25" s="27"/>
      <c r="B25" s="28"/>
      <c r="C25" s="9"/>
      <c r="D25" s="9"/>
      <c r="E25" s="9"/>
      <c r="F25" s="9"/>
      <c r="G25" s="9"/>
      <c r="H25" s="9"/>
      <c r="I25" s="9"/>
      <c r="J25" s="9"/>
      <c r="K25" s="9"/>
      <c r="L25" s="9"/>
      <c r="M25" s="9"/>
      <c r="N25" s="9"/>
      <c r="O25" s="9"/>
      <c r="P25" s="9"/>
      <c r="Q25" s="9"/>
      <c r="R25" s="9"/>
      <c r="S25" s="9"/>
      <c r="T25" s="9"/>
      <c r="U25" s="9"/>
      <c r="V25" s="9"/>
      <c r="W25" s="9"/>
      <c r="X25" s="9"/>
      <c r="Y25" s="9"/>
      <c r="Z25" s="9"/>
    </row>
    <row r="26">
      <c r="A26" s="27"/>
      <c r="B26" s="28"/>
      <c r="C26" s="9"/>
      <c r="D26" s="9"/>
      <c r="E26" s="9"/>
      <c r="F26" s="9"/>
      <c r="G26" s="9"/>
      <c r="H26" s="9"/>
      <c r="I26" s="9"/>
      <c r="J26" s="9"/>
      <c r="K26" s="9"/>
      <c r="L26" s="9"/>
      <c r="M26" s="9"/>
      <c r="N26" s="9"/>
      <c r="O26" s="9"/>
      <c r="P26" s="9"/>
      <c r="Q26" s="9"/>
      <c r="R26" s="9"/>
      <c r="S26" s="9"/>
      <c r="T26" s="9"/>
      <c r="U26" s="9"/>
      <c r="V26" s="9"/>
      <c r="W26" s="9"/>
      <c r="X26" s="9"/>
      <c r="Y26" s="9"/>
      <c r="Z26" s="9"/>
    </row>
    <row r="27">
      <c r="A27" s="27"/>
      <c r="B27" s="28"/>
      <c r="C27" s="9"/>
      <c r="D27" s="9"/>
      <c r="E27" s="9"/>
      <c r="F27" s="9"/>
      <c r="G27" s="9"/>
      <c r="H27" s="9"/>
      <c r="I27" s="9"/>
      <c r="J27" s="9"/>
      <c r="K27" s="9"/>
      <c r="L27" s="9"/>
      <c r="M27" s="9"/>
      <c r="N27" s="9"/>
      <c r="O27" s="9"/>
      <c r="P27" s="9"/>
      <c r="Q27" s="9"/>
      <c r="R27" s="9"/>
      <c r="S27" s="9"/>
      <c r="T27" s="9"/>
      <c r="U27" s="9"/>
      <c r="V27" s="9"/>
      <c r="W27" s="9"/>
      <c r="X27" s="9"/>
      <c r="Y27" s="9"/>
      <c r="Z27" s="9"/>
    </row>
    <row r="28">
      <c r="A28" s="27"/>
      <c r="B28" s="28"/>
      <c r="C28" s="9"/>
      <c r="D28" s="9"/>
      <c r="E28" s="9"/>
      <c r="F28" s="9"/>
      <c r="G28" s="9"/>
      <c r="H28" s="9"/>
      <c r="I28" s="9"/>
      <c r="J28" s="9"/>
      <c r="K28" s="9"/>
      <c r="L28" s="9"/>
      <c r="M28" s="9"/>
      <c r="N28" s="9"/>
      <c r="O28" s="9"/>
      <c r="P28" s="9"/>
      <c r="Q28" s="9"/>
      <c r="R28" s="9"/>
      <c r="S28" s="9"/>
      <c r="T28" s="9"/>
      <c r="U28" s="9"/>
      <c r="V28" s="9"/>
      <c r="W28" s="9"/>
      <c r="X28" s="9"/>
      <c r="Y28" s="9"/>
      <c r="Z28" s="9"/>
    </row>
    <row r="29">
      <c r="A29" s="27"/>
      <c r="B29" s="28"/>
      <c r="C29" s="9"/>
      <c r="D29" s="9"/>
      <c r="E29" s="9"/>
      <c r="F29" s="9"/>
      <c r="G29" s="9"/>
      <c r="H29" s="9"/>
      <c r="I29" s="9"/>
      <c r="J29" s="9"/>
      <c r="K29" s="9"/>
      <c r="L29" s="9"/>
      <c r="M29" s="9"/>
      <c r="N29" s="9"/>
      <c r="O29" s="9"/>
      <c r="P29" s="9"/>
      <c r="Q29" s="9"/>
      <c r="R29" s="9"/>
      <c r="S29" s="9"/>
      <c r="T29" s="9"/>
      <c r="U29" s="9"/>
      <c r="V29" s="9"/>
      <c r="W29" s="9"/>
      <c r="X29" s="9"/>
      <c r="Y29" s="9"/>
      <c r="Z29" s="9"/>
    </row>
    <row r="30">
      <c r="A30" s="27"/>
      <c r="B30" s="28"/>
      <c r="C30" s="9"/>
      <c r="D30" s="9"/>
      <c r="E30" s="9"/>
      <c r="F30" s="9"/>
      <c r="G30" s="9"/>
      <c r="H30" s="9"/>
      <c r="I30" s="9"/>
      <c r="J30" s="9"/>
      <c r="K30" s="9"/>
      <c r="L30" s="9"/>
      <c r="M30" s="9"/>
      <c r="N30" s="9"/>
      <c r="O30" s="9"/>
      <c r="P30" s="9"/>
      <c r="Q30" s="9"/>
      <c r="R30" s="9"/>
      <c r="S30" s="9"/>
      <c r="T30" s="9"/>
      <c r="U30" s="9"/>
      <c r="V30" s="9"/>
      <c r="W30" s="9"/>
      <c r="X30" s="9"/>
      <c r="Y30" s="9"/>
      <c r="Z30" s="9"/>
    </row>
    <row r="31">
      <c r="A31" s="27"/>
      <c r="B31" s="28"/>
      <c r="C31" s="9"/>
      <c r="D31" s="9"/>
      <c r="E31" s="9"/>
      <c r="F31" s="9"/>
      <c r="G31" s="9"/>
      <c r="H31" s="9"/>
      <c r="I31" s="9"/>
      <c r="J31" s="9"/>
      <c r="K31" s="9"/>
      <c r="L31" s="9"/>
      <c r="M31" s="9"/>
      <c r="N31" s="9"/>
      <c r="O31" s="9"/>
      <c r="P31" s="9"/>
      <c r="Q31" s="9"/>
      <c r="R31" s="9"/>
      <c r="S31" s="9"/>
      <c r="T31" s="9"/>
      <c r="U31" s="9"/>
      <c r="V31" s="9"/>
      <c r="W31" s="9"/>
      <c r="X31" s="9"/>
      <c r="Y31" s="9"/>
      <c r="Z31" s="9"/>
    </row>
    <row r="32">
      <c r="A32" s="27"/>
      <c r="B32" s="28"/>
      <c r="C32" s="9"/>
      <c r="D32" s="9"/>
      <c r="E32" s="9"/>
      <c r="F32" s="9"/>
      <c r="G32" s="9"/>
      <c r="H32" s="9"/>
      <c r="I32" s="9"/>
      <c r="J32" s="9"/>
      <c r="K32" s="9"/>
      <c r="L32" s="9"/>
      <c r="M32" s="9"/>
      <c r="N32" s="9"/>
      <c r="O32" s="9"/>
      <c r="P32" s="9"/>
      <c r="Q32" s="9"/>
      <c r="R32" s="9"/>
      <c r="S32" s="9"/>
      <c r="T32" s="9"/>
      <c r="U32" s="9"/>
      <c r="V32" s="9"/>
      <c r="W32" s="9"/>
      <c r="X32" s="9"/>
      <c r="Y32" s="9"/>
      <c r="Z32" s="9"/>
    </row>
    <row r="33">
      <c r="A33" s="27"/>
      <c r="B33" s="28"/>
      <c r="C33" s="9"/>
      <c r="D33" s="9"/>
      <c r="E33" s="9"/>
      <c r="F33" s="9"/>
      <c r="G33" s="9"/>
      <c r="H33" s="9"/>
      <c r="I33" s="9"/>
      <c r="J33" s="9"/>
      <c r="K33" s="9"/>
      <c r="L33" s="9"/>
      <c r="M33" s="9"/>
      <c r="N33" s="9"/>
      <c r="O33" s="9"/>
      <c r="P33" s="9"/>
      <c r="Q33" s="9"/>
      <c r="R33" s="9"/>
      <c r="S33" s="9"/>
      <c r="T33" s="9"/>
      <c r="U33" s="9"/>
      <c r="V33" s="9"/>
      <c r="W33" s="9"/>
      <c r="X33" s="9"/>
      <c r="Y33" s="9"/>
      <c r="Z33" s="9"/>
    </row>
    <row r="34">
      <c r="A34" s="27"/>
      <c r="B34" s="28"/>
      <c r="C34" s="9"/>
      <c r="D34" s="9"/>
      <c r="E34" s="9"/>
      <c r="F34" s="9"/>
      <c r="G34" s="9"/>
      <c r="H34" s="9"/>
      <c r="I34" s="9"/>
      <c r="J34" s="9"/>
      <c r="K34" s="9"/>
      <c r="L34" s="9"/>
      <c r="M34" s="9"/>
      <c r="N34" s="9"/>
      <c r="O34" s="9"/>
      <c r="P34" s="9"/>
      <c r="Q34" s="9"/>
      <c r="R34" s="9"/>
      <c r="S34" s="9"/>
      <c r="T34" s="9"/>
      <c r="U34" s="9"/>
      <c r="V34" s="9"/>
      <c r="W34" s="9"/>
      <c r="X34" s="9"/>
      <c r="Y34" s="9"/>
      <c r="Z34" s="9"/>
    </row>
    <row r="35">
      <c r="A35" s="27"/>
      <c r="B35" s="28"/>
      <c r="C35" s="9"/>
      <c r="D35" s="9"/>
      <c r="E35" s="9"/>
      <c r="F35" s="9"/>
      <c r="G35" s="9"/>
      <c r="H35" s="9"/>
      <c r="I35" s="9"/>
      <c r="J35" s="9"/>
      <c r="K35" s="9"/>
      <c r="L35" s="9"/>
      <c r="M35" s="9"/>
      <c r="N35" s="9"/>
      <c r="O35" s="9"/>
      <c r="P35" s="9"/>
      <c r="Q35" s="9"/>
      <c r="R35" s="9"/>
      <c r="S35" s="9"/>
      <c r="T35" s="9"/>
      <c r="U35" s="9"/>
      <c r="V35" s="9"/>
      <c r="W35" s="9"/>
      <c r="X35" s="9"/>
      <c r="Y35" s="9"/>
      <c r="Z35" s="9"/>
    </row>
    <row r="36">
      <c r="A36" s="27"/>
      <c r="B36" s="28"/>
      <c r="C36" s="9"/>
      <c r="D36" s="9"/>
      <c r="E36" s="9"/>
      <c r="F36" s="9"/>
      <c r="G36" s="9"/>
      <c r="H36" s="9"/>
      <c r="I36" s="9"/>
      <c r="J36" s="9"/>
      <c r="K36" s="9"/>
      <c r="L36" s="9"/>
      <c r="M36" s="9"/>
      <c r="N36" s="9"/>
      <c r="O36" s="9"/>
      <c r="P36" s="9"/>
      <c r="Q36" s="9"/>
      <c r="R36" s="9"/>
      <c r="S36" s="9"/>
      <c r="T36" s="9"/>
      <c r="U36" s="9"/>
      <c r="V36" s="9"/>
      <c r="W36" s="9"/>
      <c r="X36" s="9"/>
      <c r="Y36" s="9"/>
      <c r="Z36" s="9"/>
    </row>
    <row r="37">
      <c r="A37" s="27"/>
      <c r="B37" s="28"/>
      <c r="C37" s="9"/>
      <c r="D37" s="9"/>
      <c r="E37" s="9"/>
      <c r="F37" s="9"/>
      <c r="G37" s="9"/>
      <c r="H37" s="9"/>
      <c r="I37" s="9"/>
      <c r="J37" s="9"/>
      <c r="K37" s="9"/>
      <c r="L37" s="9"/>
      <c r="M37" s="9"/>
      <c r="N37" s="9"/>
      <c r="O37" s="9"/>
      <c r="P37" s="9"/>
      <c r="Q37" s="9"/>
      <c r="R37" s="9"/>
      <c r="S37" s="9"/>
      <c r="T37" s="9"/>
      <c r="U37" s="9"/>
      <c r="V37" s="9"/>
      <c r="W37" s="9"/>
      <c r="X37" s="9"/>
      <c r="Y37" s="9"/>
      <c r="Z37" s="9"/>
    </row>
    <row r="38">
      <c r="A38" s="27"/>
      <c r="B38" s="28"/>
      <c r="C38" s="9"/>
      <c r="D38" s="9"/>
      <c r="E38" s="9"/>
      <c r="F38" s="9"/>
      <c r="G38" s="9"/>
      <c r="H38" s="9"/>
      <c r="I38" s="9"/>
      <c r="J38" s="9"/>
      <c r="K38" s="9"/>
      <c r="L38" s="9"/>
      <c r="M38" s="9"/>
      <c r="N38" s="9"/>
      <c r="O38" s="9"/>
      <c r="P38" s="9"/>
      <c r="Q38" s="9"/>
      <c r="R38" s="9"/>
      <c r="S38" s="9"/>
      <c r="T38" s="9"/>
      <c r="U38" s="9"/>
      <c r="V38" s="9"/>
      <c r="W38" s="9"/>
      <c r="X38" s="9"/>
      <c r="Y38" s="9"/>
      <c r="Z38" s="9"/>
    </row>
    <row r="39">
      <c r="A39" s="27"/>
      <c r="B39" s="28"/>
      <c r="C39" s="9"/>
      <c r="D39" s="9"/>
      <c r="E39" s="9"/>
      <c r="F39" s="9"/>
      <c r="G39" s="9"/>
      <c r="H39" s="9"/>
      <c r="I39" s="9"/>
      <c r="J39" s="9"/>
      <c r="K39" s="9"/>
      <c r="L39" s="9"/>
      <c r="M39" s="9"/>
      <c r="N39" s="9"/>
      <c r="O39" s="9"/>
      <c r="P39" s="9"/>
      <c r="Q39" s="9"/>
      <c r="R39" s="9"/>
      <c r="S39" s="9"/>
      <c r="T39" s="9"/>
      <c r="U39" s="9"/>
      <c r="V39" s="9"/>
      <c r="W39" s="9"/>
      <c r="X39" s="9"/>
      <c r="Y39" s="9"/>
      <c r="Z39" s="9"/>
    </row>
    <row r="40">
      <c r="A40" s="27"/>
      <c r="B40" s="28"/>
      <c r="C40" s="9"/>
      <c r="D40" s="9"/>
      <c r="E40" s="9"/>
      <c r="F40" s="9"/>
      <c r="G40" s="9"/>
      <c r="H40" s="9"/>
      <c r="I40" s="9"/>
      <c r="J40" s="9"/>
      <c r="K40" s="9"/>
      <c r="L40" s="9"/>
      <c r="M40" s="9"/>
      <c r="N40" s="9"/>
      <c r="O40" s="9"/>
      <c r="P40" s="9"/>
      <c r="Q40" s="9"/>
      <c r="R40" s="9"/>
      <c r="S40" s="9"/>
      <c r="T40" s="9"/>
      <c r="U40" s="9"/>
      <c r="V40" s="9"/>
      <c r="W40" s="9"/>
      <c r="X40" s="9"/>
      <c r="Y40" s="9"/>
      <c r="Z40" s="9"/>
    </row>
    <row r="41">
      <c r="A41" s="27"/>
      <c r="B41" s="28"/>
      <c r="C41" s="9"/>
      <c r="D41" s="9"/>
      <c r="E41" s="9"/>
      <c r="F41" s="9"/>
      <c r="G41" s="9"/>
      <c r="H41" s="9"/>
      <c r="I41" s="9"/>
      <c r="J41" s="9"/>
      <c r="K41" s="9"/>
      <c r="L41" s="9"/>
      <c r="M41" s="9"/>
      <c r="N41" s="9"/>
      <c r="O41" s="9"/>
      <c r="P41" s="9"/>
      <c r="Q41" s="9"/>
      <c r="R41" s="9"/>
      <c r="S41" s="9"/>
      <c r="T41" s="9"/>
      <c r="U41" s="9"/>
      <c r="V41" s="9"/>
      <c r="W41" s="9"/>
      <c r="X41" s="9"/>
      <c r="Y41" s="9"/>
      <c r="Z41" s="9"/>
    </row>
    <row r="42">
      <c r="A42" s="27"/>
      <c r="B42" s="28"/>
      <c r="C42" s="9"/>
      <c r="D42" s="9"/>
      <c r="E42" s="9"/>
      <c r="F42" s="9"/>
      <c r="G42" s="9"/>
      <c r="H42" s="9"/>
      <c r="I42" s="9"/>
      <c r="J42" s="9"/>
      <c r="K42" s="9"/>
      <c r="L42" s="9"/>
      <c r="M42" s="9"/>
      <c r="N42" s="9"/>
      <c r="O42" s="9"/>
      <c r="P42" s="9"/>
      <c r="Q42" s="9"/>
      <c r="R42" s="9"/>
      <c r="S42" s="9"/>
      <c r="T42" s="9"/>
      <c r="U42" s="9"/>
      <c r="V42" s="9"/>
      <c r="W42" s="9"/>
      <c r="X42" s="9"/>
      <c r="Y42" s="9"/>
      <c r="Z42" s="9"/>
    </row>
    <row r="43">
      <c r="A43" s="27"/>
      <c r="B43" s="28"/>
      <c r="C43" s="9"/>
      <c r="D43" s="9"/>
      <c r="E43" s="9"/>
      <c r="F43" s="9"/>
      <c r="G43" s="9"/>
      <c r="H43" s="9"/>
      <c r="I43" s="9"/>
      <c r="J43" s="9"/>
      <c r="K43" s="9"/>
      <c r="L43" s="9"/>
      <c r="M43" s="9"/>
      <c r="N43" s="9"/>
      <c r="O43" s="9"/>
      <c r="P43" s="9"/>
      <c r="Q43" s="9"/>
      <c r="R43" s="9"/>
      <c r="S43" s="9"/>
      <c r="T43" s="9"/>
      <c r="U43" s="9"/>
      <c r="V43" s="9"/>
      <c r="W43" s="9"/>
      <c r="X43" s="9"/>
      <c r="Y43" s="9"/>
      <c r="Z43" s="9"/>
    </row>
    <row r="44">
      <c r="A44" s="27"/>
      <c r="B44" s="28"/>
      <c r="C44" s="9"/>
      <c r="D44" s="9"/>
      <c r="E44" s="9"/>
      <c r="F44" s="9"/>
      <c r="G44" s="9"/>
      <c r="H44" s="9"/>
      <c r="I44" s="9"/>
      <c r="J44" s="9"/>
      <c r="K44" s="9"/>
      <c r="L44" s="9"/>
      <c r="M44" s="9"/>
      <c r="N44" s="9"/>
      <c r="O44" s="9"/>
      <c r="P44" s="9"/>
      <c r="Q44" s="9"/>
      <c r="R44" s="9"/>
      <c r="S44" s="9"/>
      <c r="T44" s="9"/>
      <c r="U44" s="9"/>
      <c r="V44" s="9"/>
      <c r="W44" s="9"/>
      <c r="X44" s="9"/>
      <c r="Y44" s="9"/>
      <c r="Z44" s="9"/>
    </row>
    <row r="45">
      <c r="A45" s="27"/>
      <c r="B45" s="28"/>
      <c r="C45" s="9"/>
      <c r="D45" s="9"/>
      <c r="E45" s="9"/>
      <c r="F45" s="9"/>
      <c r="G45" s="9"/>
      <c r="H45" s="9"/>
      <c r="I45" s="9"/>
      <c r="J45" s="9"/>
      <c r="K45" s="9"/>
      <c r="L45" s="9"/>
      <c r="M45" s="9"/>
      <c r="N45" s="9"/>
      <c r="O45" s="9"/>
      <c r="P45" s="9"/>
      <c r="Q45" s="9"/>
      <c r="R45" s="9"/>
      <c r="S45" s="9"/>
      <c r="T45" s="9"/>
      <c r="U45" s="9"/>
      <c r="V45" s="9"/>
      <c r="W45" s="9"/>
      <c r="X45" s="9"/>
      <c r="Y45" s="9"/>
      <c r="Z45" s="9"/>
    </row>
    <row r="46">
      <c r="A46" s="27"/>
      <c r="B46" s="28"/>
      <c r="C46" s="9"/>
      <c r="D46" s="9"/>
      <c r="E46" s="9"/>
      <c r="F46" s="9"/>
      <c r="G46" s="9"/>
      <c r="H46" s="9"/>
      <c r="I46" s="9"/>
      <c r="J46" s="9"/>
      <c r="K46" s="9"/>
      <c r="L46" s="9"/>
      <c r="M46" s="9"/>
      <c r="N46" s="9"/>
      <c r="O46" s="9"/>
      <c r="P46" s="9"/>
      <c r="Q46" s="9"/>
      <c r="R46" s="9"/>
      <c r="S46" s="9"/>
      <c r="T46" s="9"/>
      <c r="U46" s="9"/>
      <c r="V46" s="9"/>
      <c r="W46" s="9"/>
      <c r="X46" s="9"/>
      <c r="Y46" s="9"/>
      <c r="Z46" s="9"/>
    </row>
    <row r="47">
      <c r="A47" s="27"/>
      <c r="B47" s="28"/>
      <c r="C47" s="9"/>
      <c r="D47" s="9"/>
      <c r="E47" s="9"/>
      <c r="F47" s="9"/>
      <c r="G47" s="9"/>
      <c r="H47" s="9"/>
      <c r="I47" s="9"/>
      <c r="J47" s="9"/>
      <c r="K47" s="9"/>
      <c r="L47" s="9"/>
      <c r="M47" s="9"/>
      <c r="N47" s="9"/>
      <c r="O47" s="9"/>
      <c r="P47" s="9"/>
      <c r="Q47" s="9"/>
      <c r="R47" s="9"/>
      <c r="S47" s="9"/>
      <c r="T47" s="9"/>
      <c r="U47" s="9"/>
      <c r="V47" s="9"/>
      <c r="W47" s="9"/>
      <c r="X47" s="9"/>
      <c r="Y47" s="9"/>
      <c r="Z47" s="9"/>
    </row>
    <row r="48">
      <c r="A48" s="27"/>
      <c r="B48" s="28"/>
      <c r="C48" s="9"/>
      <c r="D48" s="9"/>
      <c r="E48" s="9"/>
      <c r="F48" s="9"/>
      <c r="G48" s="9"/>
      <c r="H48" s="9"/>
      <c r="I48" s="9"/>
      <c r="J48" s="9"/>
      <c r="K48" s="9"/>
      <c r="L48" s="9"/>
      <c r="M48" s="9"/>
      <c r="N48" s="9"/>
      <c r="O48" s="9"/>
      <c r="P48" s="9"/>
      <c r="Q48" s="9"/>
      <c r="R48" s="9"/>
      <c r="S48" s="9"/>
      <c r="T48" s="9"/>
      <c r="U48" s="9"/>
      <c r="V48" s="9"/>
      <c r="W48" s="9"/>
      <c r="X48" s="9"/>
      <c r="Y48" s="9"/>
      <c r="Z48" s="9"/>
    </row>
    <row r="49">
      <c r="A49" s="27"/>
      <c r="B49" s="28"/>
      <c r="C49" s="9"/>
      <c r="D49" s="9"/>
      <c r="E49" s="9"/>
      <c r="F49" s="9"/>
      <c r="G49" s="9"/>
      <c r="H49" s="9"/>
      <c r="I49" s="9"/>
      <c r="J49" s="9"/>
      <c r="K49" s="9"/>
      <c r="L49" s="9"/>
      <c r="M49" s="9"/>
      <c r="N49" s="9"/>
      <c r="O49" s="9"/>
      <c r="P49" s="9"/>
      <c r="Q49" s="9"/>
      <c r="R49" s="9"/>
      <c r="S49" s="9"/>
      <c r="T49" s="9"/>
      <c r="U49" s="9"/>
      <c r="V49" s="9"/>
      <c r="W49" s="9"/>
      <c r="X49" s="9"/>
      <c r="Y49" s="9"/>
      <c r="Z49" s="9"/>
    </row>
    <row r="50">
      <c r="A50" s="27"/>
      <c r="B50" s="28"/>
      <c r="C50" s="9"/>
      <c r="D50" s="9"/>
      <c r="E50" s="9"/>
      <c r="F50" s="9"/>
      <c r="G50" s="9"/>
      <c r="H50" s="9"/>
      <c r="I50" s="9"/>
      <c r="J50" s="9"/>
      <c r="K50" s="9"/>
      <c r="L50" s="9"/>
      <c r="M50" s="9"/>
      <c r="N50" s="9"/>
      <c r="O50" s="9"/>
      <c r="P50" s="9"/>
      <c r="Q50" s="9"/>
      <c r="R50" s="9"/>
      <c r="S50" s="9"/>
      <c r="T50" s="9"/>
      <c r="U50" s="9"/>
      <c r="V50" s="9"/>
      <c r="W50" s="9"/>
      <c r="X50" s="9"/>
      <c r="Y50" s="9"/>
      <c r="Z50" s="9"/>
    </row>
    <row r="51">
      <c r="A51" s="27"/>
      <c r="B51" s="28"/>
      <c r="C51" s="9"/>
      <c r="D51" s="9"/>
      <c r="E51" s="9"/>
      <c r="F51" s="9"/>
      <c r="G51" s="9"/>
      <c r="H51" s="9"/>
      <c r="I51" s="9"/>
      <c r="J51" s="9"/>
      <c r="K51" s="9"/>
      <c r="L51" s="9"/>
      <c r="M51" s="9"/>
      <c r="N51" s="9"/>
      <c r="O51" s="9"/>
      <c r="P51" s="9"/>
      <c r="Q51" s="9"/>
      <c r="R51" s="9"/>
      <c r="S51" s="9"/>
      <c r="T51" s="9"/>
      <c r="U51" s="9"/>
      <c r="V51" s="9"/>
      <c r="W51" s="9"/>
      <c r="X51" s="9"/>
      <c r="Y51" s="9"/>
      <c r="Z51" s="9"/>
    </row>
    <row r="52">
      <c r="A52" s="27"/>
      <c r="B52" s="28"/>
      <c r="C52" s="9"/>
      <c r="D52" s="9"/>
      <c r="E52" s="9"/>
      <c r="F52" s="9"/>
      <c r="G52" s="9"/>
      <c r="H52" s="9"/>
      <c r="I52" s="9"/>
      <c r="J52" s="9"/>
      <c r="K52" s="9"/>
      <c r="L52" s="9"/>
      <c r="M52" s="9"/>
      <c r="N52" s="9"/>
      <c r="O52" s="9"/>
      <c r="P52" s="9"/>
      <c r="Q52" s="9"/>
      <c r="R52" s="9"/>
      <c r="S52" s="9"/>
      <c r="T52" s="9"/>
      <c r="U52" s="9"/>
      <c r="V52" s="9"/>
      <c r="W52" s="9"/>
      <c r="X52" s="9"/>
      <c r="Y52" s="9"/>
      <c r="Z52" s="9"/>
    </row>
    <row r="53">
      <c r="A53" s="27"/>
      <c r="B53" s="28"/>
      <c r="C53" s="9"/>
      <c r="D53" s="9"/>
      <c r="E53" s="9"/>
      <c r="F53" s="9"/>
      <c r="G53" s="9"/>
      <c r="H53" s="9"/>
      <c r="I53" s="9"/>
      <c r="J53" s="9"/>
      <c r="K53" s="9"/>
      <c r="L53" s="9"/>
      <c r="M53" s="9"/>
      <c r="N53" s="9"/>
      <c r="O53" s="9"/>
      <c r="P53" s="9"/>
      <c r="Q53" s="9"/>
      <c r="R53" s="9"/>
      <c r="S53" s="9"/>
      <c r="T53" s="9"/>
      <c r="U53" s="9"/>
      <c r="V53" s="9"/>
      <c r="W53" s="9"/>
      <c r="X53" s="9"/>
      <c r="Y53" s="9"/>
      <c r="Z53" s="9"/>
    </row>
    <row r="54">
      <c r="A54" s="27"/>
      <c r="B54" s="28"/>
      <c r="C54" s="9"/>
      <c r="D54" s="9"/>
      <c r="E54" s="9"/>
      <c r="F54" s="9"/>
      <c r="G54" s="9"/>
      <c r="H54" s="9"/>
      <c r="I54" s="9"/>
      <c r="J54" s="9"/>
      <c r="K54" s="9"/>
      <c r="L54" s="9"/>
      <c r="M54" s="9"/>
      <c r="N54" s="9"/>
      <c r="O54" s="9"/>
      <c r="P54" s="9"/>
      <c r="Q54" s="9"/>
      <c r="R54" s="9"/>
      <c r="S54" s="9"/>
      <c r="T54" s="9"/>
      <c r="U54" s="9"/>
      <c r="V54" s="9"/>
      <c r="W54" s="9"/>
      <c r="X54" s="9"/>
      <c r="Y54" s="9"/>
      <c r="Z54" s="9"/>
    </row>
    <row r="55">
      <c r="A55" s="27"/>
      <c r="B55" s="28"/>
      <c r="C55" s="9"/>
      <c r="D55" s="9"/>
      <c r="E55" s="9"/>
      <c r="F55" s="9"/>
      <c r="G55" s="9"/>
      <c r="H55" s="9"/>
      <c r="I55" s="9"/>
      <c r="J55" s="9"/>
      <c r="K55" s="9"/>
      <c r="L55" s="9"/>
      <c r="M55" s="9"/>
      <c r="N55" s="9"/>
      <c r="O55" s="9"/>
      <c r="P55" s="9"/>
      <c r="Q55" s="9"/>
      <c r="R55" s="9"/>
      <c r="S55" s="9"/>
      <c r="T55" s="9"/>
      <c r="U55" s="9"/>
      <c r="V55" s="9"/>
      <c r="W55" s="9"/>
      <c r="X55" s="9"/>
      <c r="Y55" s="9"/>
      <c r="Z55" s="9"/>
    </row>
    <row r="56">
      <c r="A56" s="27"/>
      <c r="B56" s="28"/>
      <c r="C56" s="9"/>
      <c r="D56" s="9"/>
      <c r="E56" s="9"/>
      <c r="F56" s="9"/>
      <c r="G56" s="9"/>
      <c r="H56" s="9"/>
      <c r="I56" s="9"/>
      <c r="J56" s="9"/>
      <c r="K56" s="9"/>
      <c r="L56" s="9"/>
      <c r="M56" s="9"/>
      <c r="N56" s="9"/>
      <c r="O56" s="9"/>
      <c r="P56" s="9"/>
      <c r="Q56" s="9"/>
      <c r="R56" s="9"/>
      <c r="S56" s="9"/>
      <c r="T56" s="9"/>
      <c r="U56" s="9"/>
      <c r="V56" s="9"/>
      <c r="W56" s="9"/>
      <c r="X56" s="9"/>
      <c r="Y56" s="9"/>
      <c r="Z56" s="9"/>
    </row>
    <row r="57">
      <c r="A57" s="27"/>
      <c r="B57" s="28"/>
      <c r="C57" s="9"/>
      <c r="D57" s="9"/>
      <c r="E57" s="9"/>
      <c r="F57" s="9"/>
      <c r="G57" s="9"/>
      <c r="H57" s="9"/>
      <c r="I57" s="9"/>
      <c r="J57" s="9"/>
      <c r="K57" s="9"/>
      <c r="L57" s="9"/>
      <c r="M57" s="9"/>
      <c r="N57" s="9"/>
      <c r="O57" s="9"/>
      <c r="P57" s="9"/>
      <c r="Q57" s="9"/>
      <c r="R57" s="9"/>
      <c r="S57" s="9"/>
      <c r="T57" s="9"/>
      <c r="U57" s="9"/>
      <c r="V57" s="9"/>
      <c r="W57" s="9"/>
      <c r="X57" s="9"/>
      <c r="Y57" s="9"/>
      <c r="Z57" s="9"/>
    </row>
    <row r="58">
      <c r="A58" s="27"/>
      <c r="B58" s="28"/>
      <c r="C58" s="9"/>
      <c r="D58" s="9"/>
      <c r="E58" s="9"/>
      <c r="F58" s="9"/>
      <c r="G58" s="9"/>
      <c r="H58" s="9"/>
      <c r="I58" s="9"/>
      <c r="J58" s="9"/>
      <c r="K58" s="9"/>
      <c r="L58" s="9"/>
      <c r="M58" s="9"/>
      <c r="N58" s="9"/>
      <c r="O58" s="9"/>
      <c r="P58" s="9"/>
      <c r="Q58" s="9"/>
      <c r="R58" s="9"/>
      <c r="S58" s="9"/>
      <c r="T58" s="9"/>
      <c r="U58" s="9"/>
      <c r="V58" s="9"/>
      <c r="W58" s="9"/>
      <c r="X58" s="9"/>
      <c r="Y58" s="9"/>
      <c r="Z58" s="9"/>
    </row>
    <row r="59">
      <c r="A59" s="27"/>
      <c r="B59" s="28"/>
      <c r="C59" s="9"/>
      <c r="D59" s="9"/>
      <c r="E59" s="9"/>
      <c r="F59" s="9"/>
      <c r="G59" s="9"/>
      <c r="H59" s="9"/>
      <c r="I59" s="9"/>
      <c r="J59" s="9"/>
      <c r="K59" s="9"/>
      <c r="L59" s="9"/>
      <c r="M59" s="9"/>
      <c r="N59" s="9"/>
      <c r="O59" s="9"/>
      <c r="P59" s="9"/>
      <c r="Q59" s="9"/>
      <c r="R59" s="9"/>
      <c r="S59" s="9"/>
      <c r="T59" s="9"/>
      <c r="U59" s="9"/>
      <c r="V59" s="9"/>
      <c r="W59" s="9"/>
      <c r="X59" s="9"/>
      <c r="Y59" s="9"/>
      <c r="Z59" s="9"/>
    </row>
    <row r="60">
      <c r="A60" s="27"/>
      <c r="B60" s="28"/>
      <c r="C60" s="9"/>
      <c r="D60" s="9"/>
      <c r="E60" s="9"/>
      <c r="F60" s="9"/>
      <c r="G60" s="9"/>
      <c r="H60" s="9"/>
      <c r="I60" s="9"/>
      <c r="J60" s="9"/>
      <c r="K60" s="9"/>
      <c r="L60" s="9"/>
      <c r="M60" s="9"/>
      <c r="N60" s="9"/>
      <c r="O60" s="9"/>
      <c r="P60" s="9"/>
      <c r="Q60" s="9"/>
      <c r="R60" s="9"/>
      <c r="S60" s="9"/>
      <c r="T60" s="9"/>
      <c r="U60" s="9"/>
      <c r="V60" s="9"/>
      <c r="W60" s="9"/>
      <c r="X60" s="9"/>
      <c r="Y60" s="9"/>
      <c r="Z60" s="9"/>
    </row>
    <row r="61">
      <c r="A61" s="27"/>
      <c r="B61" s="28"/>
      <c r="C61" s="9"/>
      <c r="D61" s="9"/>
      <c r="E61" s="9"/>
      <c r="F61" s="9"/>
      <c r="G61" s="9"/>
      <c r="H61" s="9"/>
      <c r="I61" s="9"/>
      <c r="J61" s="9"/>
      <c r="K61" s="9"/>
      <c r="L61" s="9"/>
      <c r="M61" s="9"/>
      <c r="N61" s="9"/>
      <c r="O61" s="9"/>
      <c r="P61" s="9"/>
      <c r="Q61" s="9"/>
      <c r="R61" s="9"/>
      <c r="S61" s="9"/>
      <c r="T61" s="9"/>
      <c r="U61" s="9"/>
      <c r="V61" s="9"/>
      <c r="W61" s="9"/>
      <c r="X61" s="9"/>
      <c r="Y61" s="9"/>
      <c r="Z61" s="9"/>
    </row>
    <row r="62">
      <c r="A62" s="27"/>
      <c r="B62" s="28"/>
      <c r="C62" s="9"/>
      <c r="D62" s="9"/>
      <c r="E62" s="9"/>
      <c r="F62" s="9"/>
      <c r="G62" s="9"/>
      <c r="H62" s="9"/>
      <c r="I62" s="9"/>
      <c r="J62" s="9"/>
      <c r="K62" s="9"/>
      <c r="L62" s="9"/>
      <c r="M62" s="9"/>
      <c r="N62" s="9"/>
      <c r="O62" s="9"/>
      <c r="P62" s="9"/>
      <c r="Q62" s="9"/>
      <c r="R62" s="9"/>
      <c r="S62" s="9"/>
      <c r="T62" s="9"/>
      <c r="U62" s="9"/>
      <c r="V62" s="9"/>
      <c r="W62" s="9"/>
      <c r="X62" s="9"/>
      <c r="Y62" s="9"/>
      <c r="Z62" s="9"/>
    </row>
    <row r="63">
      <c r="A63" s="27"/>
      <c r="B63" s="28"/>
      <c r="C63" s="9"/>
      <c r="D63" s="9"/>
      <c r="E63" s="9"/>
      <c r="F63" s="9"/>
      <c r="G63" s="9"/>
      <c r="H63" s="9"/>
      <c r="I63" s="9"/>
      <c r="J63" s="9"/>
      <c r="K63" s="9"/>
      <c r="L63" s="9"/>
      <c r="M63" s="9"/>
      <c r="N63" s="9"/>
      <c r="O63" s="9"/>
      <c r="P63" s="9"/>
      <c r="Q63" s="9"/>
      <c r="R63" s="9"/>
      <c r="S63" s="9"/>
      <c r="T63" s="9"/>
      <c r="U63" s="9"/>
      <c r="V63" s="9"/>
      <c r="W63" s="9"/>
      <c r="X63" s="9"/>
      <c r="Y63" s="9"/>
      <c r="Z63" s="9"/>
    </row>
    <row r="64">
      <c r="A64" s="27"/>
      <c r="B64" s="28"/>
      <c r="C64" s="9"/>
      <c r="D64" s="9"/>
      <c r="E64" s="9"/>
      <c r="F64" s="9"/>
      <c r="G64" s="9"/>
      <c r="H64" s="9"/>
      <c r="I64" s="9"/>
      <c r="J64" s="9"/>
      <c r="K64" s="9"/>
      <c r="L64" s="9"/>
      <c r="M64" s="9"/>
      <c r="N64" s="9"/>
      <c r="O64" s="9"/>
      <c r="P64" s="9"/>
      <c r="Q64" s="9"/>
      <c r="R64" s="9"/>
      <c r="S64" s="9"/>
      <c r="T64" s="9"/>
      <c r="U64" s="9"/>
      <c r="V64" s="9"/>
      <c r="W64" s="9"/>
      <c r="X64" s="9"/>
      <c r="Y64" s="9"/>
      <c r="Z64" s="9"/>
    </row>
    <row r="65">
      <c r="A65" s="27"/>
      <c r="B65" s="28"/>
      <c r="C65" s="9"/>
      <c r="D65" s="9"/>
      <c r="E65" s="9"/>
      <c r="F65" s="9"/>
      <c r="G65" s="9"/>
      <c r="H65" s="9"/>
      <c r="I65" s="9"/>
      <c r="J65" s="9"/>
      <c r="K65" s="9"/>
      <c r="L65" s="9"/>
      <c r="M65" s="9"/>
      <c r="N65" s="9"/>
      <c r="O65" s="9"/>
      <c r="P65" s="9"/>
      <c r="Q65" s="9"/>
      <c r="R65" s="9"/>
      <c r="S65" s="9"/>
      <c r="T65" s="9"/>
      <c r="U65" s="9"/>
      <c r="V65" s="9"/>
      <c r="W65" s="9"/>
      <c r="X65" s="9"/>
      <c r="Y65" s="9"/>
      <c r="Z65" s="9"/>
    </row>
    <row r="66">
      <c r="A66" s="27"/>
      <c r="B66" s="28"/>
      <c r="C66" s="9"/>
      <c r="D66" s="9"/>
      <c r="E66" s="9"/>
      <c r="F66" s="9"/>
      <c r="G66" s="9"/>
      <c r="H66" s="9"/>
      <c r="I66" s="9"/>
      <c r="J66" s="9"/>
      <c r="K66" s="9"/>
      <c r="L66" s="9"/>
      <c r="M66" s="9"/>
      <c r="N66" s="9"/>
      <c r="O66" s="9"/>
      <c r="P66" s="9"/>
      <c r="Q66" s="9"/>
      <c r="R66" s="9"/>
      <c r="S66" s="9"/>
      <c r="T66" s="9"/>
      <c r="U66" s="9"/>
      <c r="V66" s="9"/>
      <c r="W66" s="9"/>
      <c r="X66" s="9"/>
      <c r="Y66" s="9"/>
      <c r="Z66" s="9"/>
    </row>
    <row r="67">
      <c r="A67" s="27"/>
      <c r="B67" s="28"/>
      <c r="C67" s="9"/>
      <c r="D67" s="9"/>
      <c r="E67" s="9"/>
      <c r="F67" s="9"/>
      <c r="G67" s="9"/>
      <c r="H67" s="9"/>
      <c r="I67" s="9"/>
      <c r="J67" s="9"/>
      <c r="K67" s="9"/>
      <c r="L67" s="9"/>
      <c r="M67" s="9"/>
      <c r="N67" s="9"/>
      <c r="O67" s="9"/>
      <c r="P67" s="9"/>
      <c r="Q67" s="9"/>
      <c r="R67" s="9"/>
      <c r="S67" s="9"/>
      <c r="T67" s="9"/>
      <c r="U67" s="9"/>
      <c r="V67" s="9"/>
      <c r="W67" s="9"/>
      <c r="X67" s="9"/>
      <c r="Y67" s="9"/>
      <c r="Z67" s="9"/>
    </row>
    <row r="68">
      <c r="A68" s="27"/>
      <c r="B68" s="28"/>
      <c r="C68" s="9"/>
      <c r="D68" s="9"/>
      <c r="E68" s="9"/>
      <c r="F68" s="9"/>
      <c r="G68" s="9"/>
      <c r="H68" s="9"/>
      <c r="I68" s="9"/>
      <c r="J68" s="9"/>
      <c r="K68" s="9"/>
      <c r="L68" s="9"/>
      <c r="M68" s="9"/>
      <c r="N68" s="9"/>
      <c r="O68" s="9"/>
      <c r="P68" s="9"/>
      <c r="Q68" s="9"/>
      <c r="R68" s="9"/>
      <c r="S68" s="9"/>
      <c r="T68" s="9"/>
      <c r="U68" s="9"/>
      <c r="V68" s="9"/>
      <c r="W68" s="9"/>
      <c r="X68" s="9"/>
      <c r="Y68" s="9"/>
      <c r="Z68" s="9"/>
    </row>
    <row r="69">
      <c r="A69" s="27"/>
      <c r="B69" s="28"/>
      <c r="C69" s="9"/>
      <c r="D69" s="9"/>
      <c r="E69" s="9"/>
      <c r="F69" s="9"/>
      <c r="G69" s="9"/>
      <c r="H69" s="9"/>
      <c r="I69" s="9"/>
      <c r="J69" s="9"/>
      <c r="K69" s="9"/>
      <c r="L69" s="9"/>
      <c r="M69" s="9"/>
      <c r="N69" s="9"/>
      <c r="O69" s="9"/>
      <c r="P69" s="9"/>
      <c r="Q69" s="9"/>
      <c r="R69" s="9"/>
      <c r="S69" s="9"/>
      <c r="T69" s="9"/>
      <c r="U69" s="9"/>
      <c r="V69" s="9"/>
      <c r="W69" s="9"/>
      <c r="X69" s="9"/>
      <c r="Y69" s="9"/>
      <c r="Z69" s="9"/>
    </row>
    <row r="70">
      <c r="A70" s="27"/>
      <c r="B70" s="28"/>
      <c r="C70" s="9"/>
      <c r="D70" s="9"/>
      <c r="E70" s="9"/>
      <c r="F70" s="9"/>
      <c r="G70" s="9"/>
      <c r="H70" s="9"/>
      <c r="I70" s="9"/>
      <c r="J70" s="9"/>
      <c r="K70" s="9"/>
      <c r="L70" s="9"/>
      <c r="M70" s="9"/>
      <c r="N70" s="9"/>
      <c r="O70" s="9"/>
      <c r="P70" s="9"/>
      <c r="Q70" s="9"/>
      <c r="R70" s="9"/>
      <c r="S70" s="9"/>
      <c r="T70" s="9"/>
      <c r="U70" s="9"/>
      <c r="V70" s="9"/>
      <c r="W70" s="9"/>
      <c r="X70" s="9"/>
      <c r="Y70" s="9"/>
      <c r="Z70" s="9"/>
    </row>
    <row r="71">
      <c r="A71" s="27"/>
      <c r="B71" s="28"/>
      <c r="C71" s="9"/>
      <c r="D71" s="9"/>
      <c r="E71" s="9"/>
      <c r="F71" s="9"/>
      <c r="G71" s="9"/>
      <c r="H71" s="9"/>
      <c r="I71" s="9"/>
      <c r="J71" s="9"/>
      <c r="K71" s="9"/>
      <c r="L71" s="9"/>
      <c r="M71" s="9"/>
      <c r="N71" s="9"/>
      <c r="O71" s="9"/>
      <c r="P71" s="9"/>
      <c r="Q71" s="9"/>
      <c r="R71" s="9"/>
      <c r="S71" s="9"/>
      <c r="T71" s="9"/>
      <c r="U71" s="9"/>
      <c r="V71" s="9"/>
      <c r="W71" s="9"/>
      <c r="X71" s="9"/>
      <c r="Y71" s="9"/>
      <c r="Z71" s="9"/>
    </row>
    <row r="72">
      <c r="A72" s="27"/>
      <c r="B72" s="28"/>
      <c r="C72" s="9"/>
      <c r="D72" s="9"/>
      <c r="E72" s="9"/>
      <c r="F72" s="9"/>
      <c r="G72" s="9"/>
      <c r="H72" s="9"/>
      <c r="I72" s="9"/>
      <c r="J72" s="9"/>
      <c r="K72" s="9"/>
      <c r="L72" s="9"/>
      <c r="M72" s="9"/>
      <c r="N72" s="9"/>
      <c r="O72" s="9"/>
      <c r="P72" s="9"/>
      <c r="Q72" s="9"/>
      <c r="R72" s="9"/>
      <c r="S72" s="9"/>
      <c r="T72" s="9"/>
      <c r="U72" s="9"/>
      <c r="V72" s="9"/>
      <c r="W72" s="9"/>
      <c r="X72" s="9"/>
      <c r="Y72" s="9"/>
      <c r="Z72" s="9"/>
    </row>
    <row r="73">
      <c r="A73" s="27"/>
      <c r="B73" s="28"/>
      <c r="C73" s="9"/>
      <c r="D73" s="9"/>
      <c r="E73" s="9"/>
      <c r="F73" s="9"/>
      <c r="G73" s="9"/>
      <c r="H73" s="9"/>
      <c r="I73" s="9"/>
      <c r="J73" s="9"/>
      <c r="K73" s="9"/>
      <c r="L73" s="9"/>
      <c r="M73" s="9"/>
      <c r="N73" s="9"/>
      <c r="O73" s="9"/>
      <c r="P73" s="9"/>
      <c r="Q73" s="9"/>
      <c r="R73" s="9"/>
      <c r="S73" s="9"/>
      <c r="T73" s="9"/>
      <c r="U73" s="9"/>
      <c r="V73" s="9"/>
      <c r="W73" s="9"/>
      <c r="X73" s="9"/>
      <c r="Y73" s="9"/>
      <c r="Z73" s="9"/>
    </row>
    <row r="74">
      <c r="A74" s="27"/>
      <c r="B74" s="28"/>
      <c r="C74" s="9"/>
      <c r="D74" s="9"/>
      <c r="E74" s="9"/>
      <c r="F74" s="9"/>
      <c r="G74" s="9"/>
      <c r="H74" s="9"/>
      <c r="I74" s="9"/>
      <c r="J74" s="9"/>
      <c r="K74" s="9"/>
      <c r="L74" s="9"/>
      <c r="M74" s="9"/>
      <c r="N74" s="9"/>
      <c r="O74" s="9"/>
      <c r="P74" s="9"/>
      <c r="Q74" s="9"/>
      <c r="R74" s="9"/>
      <c r="S74" s="9"/>
      <c r="T74" s="9"/>
      <c r="U74" s="9"/>
      <c r="V74" s="9"/>
      <c r="W74" s="9"/>
      <c r="X74" s="9"/>
      <c r="Y74" s="9"/>
      <c r="Z74" s="9"/>
    </row>
    <row r="75">
      <c r="A75" s="27"/>
      <c r="B75" s="28"/>
      <c r="C75" s="9"/>
      <c r="D75" s="9"/>
      <c r="E75" s="9"/>
      <c r="F75" s="9"/>
      <c r="G75" s="9"/>
      <c r="H75" s="9"/>
      <c r="I75" s="9"/>
      <c r="J75" s="9"/>
      <c r="K75" s="9"/>
      <c r="L75" s="9"/>
      <c r="M75" s="9"/>
      <c r="N75" s="9"/>
      <c r="O75" s="9"/>
      <c r="P75" s="9"/>
      <c r="Q75" s="9"/>
      <c r="R75" s="9"/>
      <c r="S75" s="9"/>
      <c r="T75" s="9"/>
      <c r="U75" s="9"/>
      <c r="V75" s="9"/>
      <c r="W75" s="9"/>
      <c r="X75" s="9"/>
      <c r="Y75" s="9"/>
      <c r="Z75" s="9"/>
    </row>
    <row r="76">
      <c r="A76" s="27"/>
      <c r="B76" s="28"/>
      <c r="C76" s="9"/>
      <c r="D76" s="9"/>
      <c r="E76" s="9"/>
      <c r="F76" s="9"/>
      <c r="G76" s="9"/>
      <c r="H76" s="9"/>
      <c r="I76" s="9"/>
      <c r="J76" s="9"/>
      <c r="K76" s="9"/>
      <c r="L76" s="9"/>
      <c r="M76" s="9"/>
      <c r="N76" s="9"/>
      <c r="O76" s="9"/>
      <c r="P76" s="9"/>
      <c r="Q76" s="9"/>
      <c r="R76" s="9"/>
      <c r="S76" s="9"/>
      <c r="T76" s="9"/>
      <c r="U76" s="9"/>
      <c r="V76" s="9"/>
      <c r="W76" s="9"/>
      <c r="X76" s="9"/>
      <c r="Y76" s="9"/>
      <c r="Z76" s="9"/>
    </row>
    <row r="77">
      <c r="A77" s="27"/>
      <c r="B77" s="28"/>
      <c r="C77" s="9"/>
      <c r="D77" s="9"/>
      <c r="E77" s="9"/>
      <c r="F77" s="9"/>
      <c r="G77" s="9"/>
      <c r="H77" s="9"/>
      <c r="I77" s="9"/>
      <c r="J77" s="9"/>
      <c r="K77" s="9"/>
      <c r="L77" s="9"/>
      <c r="M77" s="9"/>
      <c r="N77" s="9"/>
      <c r="O77" s="9"/>
      <c r="P77" s="9"/>
      <c r="Q77" s="9"/>
      <c r="R77" s="9"/>
      <c r="S77" s="9"/>
      <c r="T77" s="9"/>
      <c r="U77" s="9"/>
      <c r="V77" s="9"/>
      <c r="W77" s="9"/>
      <c r="X77" s="9"/>
      <c r="Y77" s="9"/>
      <c r="Z77" s="9"/>
    </row>
    <row r="78">
      <c r="A78" s="27"/>
      <c r="B78" s="28"/>
      <c r="C78" s="9"/>
      <c r="D78" s="9"/>
      <c r="E78" s="9"/>
      <c r="F78" s="9"/>
      <c r="G78" s="9"/>
      <c r="H78" s="9"/>
      <c r="I78" s="9"/>
      <c r="J78" s="9"/>
      <c r="K78" s="9"/>
      <c r="L78" s="9"/>
      <c r="M78" s="9"/>
      <c r="N78" s="9"/>
      <c r="O78" s="9"/>
      <c r="P78" s="9"/>
      <c r="Q78" s="9"/>
      <c r="R78" s="9"/>
      <c r="S78" s="9"/>
      <c r="T78" s="9"/>
      <c r="U78" s="9"/>
      <c r="V78" s="9"/>
      <c r="W78" s="9"/>
      <c r="X78" s="9"/>
      <c r="Y78" s="9"/>
      <c r="Z78" s="9"/>
    </row>
    <row r="79">
      <c r="A79" s="27"/>
      <c r="B79" s="28"/>
      <c r="C79" s="9"/>
      <c r="D79" s="9"/>
      <c r="E79" s="9"/>
      <c r="F79" s="9"/>
      <c r="G79" s="9"/>
      <c r="H79" s="9"/>
      <c r="I79" s="9"/>
      <c r="J79" s="9"/>
      <c r="K79" s="9"/>
      <c r="L79" s="9"/>
      <c r="M79" s="9"/>
      <c r="N79" s="9"/>
      <c r="O79" s="9"/>
      <c r="P79" s="9"/>
      <c r="Q79" s="9"/>
      <c r="R79" s="9"/>
      <c r="S79" s="9"/>
      <c r="T79" s="9"/>
      <c r="U79" s="9"/>
      <c r="V79" s="9"/>
      <c r="W79" s="9"/>
      <c r="X79" s="9"/>
      <c r="Y79" s="9"/>
      <c r="Z79" s="9"/>
    </row>
    <row r="80">
      <c r="A80" s="27"/>
      <c r="B80" s="28"/>
      <c r="C80" s="9"/>
      <c r="D80" s="9"/>
      <c r="E80" s="9"/>
      <c r="F80" s="9"/>
      <c r="G80" s="9"/>
      <c r="H80" s="9"/>
      <c r="I80" s="9"/>
      <c r="J80" s="9"/>
      <c r="K80" s="9"/>
      <c r="L80" s="9"/>
      <c r="M80" s="9"/>
      <c r="N80" s="9"/>
      <c r="O80" s="9"/>
      <c r="P80" s="9"/>
      <c r="Q80" s="9"/>
      <c r="R80" s="9"/>
      <c r="S80" s="9"/>
      <c r="T80" s="9"/>
      <c r="U80" s="9"/>
      <c r="V80" s="9"/>
      <c r="W80" s="9"/>
      <c r="X80" s="9"/>
      <c r="Y80" s="9"/>
      <c r="Z80" s="9"/>
    </row>
    <row r="81">
      <c r="A81" s="27"/>
      <c r="B81" s="28"/>
      <c r="C81" s="9"/>
      <c r="D81" s="9"/>
      <c r="E81" s="9"/>
      <c r="F81" s="9"/>
      <c r="G81" s="9"/>
      <c r="H81" s="9"/>
      <c r="I81" s="9"/>
      <c r="J81" s="9"/>
      <c r="K81" s="9"/>
      <c r="L81" s="9"/>
      <c r="M81" s="9"/>
      <c r="N81" s="9"/>
      <c r="O81" s="9"/>
      <c r="P81" s="9"/>
      <c r="Q81" s="9"/>
      <c r="R81" s="9"/>
      <c r="S81" s="9"/>
      <c r="T81" s="9"/>
      <c r="U81" s="9"/>
      <c r="V81" s="9"/>
      <c r="W81" s="9"/>
      <c r="X81" s="9"/>
      <c r="Y81" s="9"/>
      <c r="Z81" s="9"/>
    </row>
    <row r="82">
      <c r="A82" s="27"/>
      <c r="B82" s="28"/>
      <c r="C82" s="9"/>
      <c r="D82" s="9"/>
      <c r="E82" s="9"/>
      <c r="F82" s="9"/>
      <c r="G82" s="9"/>
      <c r="H82" s="9"/>
      <c r="I82" s="9"/>
      <c r="J82" s="9"/>
      <c r="K82" s="9"/>
      <c r="L82" s="9"/>
      <c r="M82" s="9"/>
      <c r="N82" s="9"/>
      <c r="O82" s="9"/>
      <c r="P82" s="9"/>
      <c r="Q82" s="9"/>
      <c r="R82" s="9"/>
      <c r="S82" s="9"/>
      <c r="T82" s="9"/>
      <c r="U82" s="9"/>
      <c r="V82" s="9"/>
      <c r="W82" s="9"/>
      <c r="X82" s="9"/>
      <c r="Y82" s="9"/>
      <c r="Z82" s="9"/>
    </row>
    <row r="83">
      <c r="A83" s="27"/>
      <c r="B83" s="28"/>
      <c r="C83" s="9"/>
      <c r="D83" s="9"/>
      <c r="E83" s="9"/>
      <c r="F83" s="9"/>
      <c r="G83" s="9"/>
      <c r="H83" s="9"/>
      <c r="I83" s="9"/>
      <c r="J83" s="9"/>
      <c r="K83" s="9"/>
      <c r="L83" s="9"/>
      <c r="M83" s="9"/>
      <c r="N83" s="9"/>
      <c r="O83" s="9"/>
      <c r="P83" s="9"/>
      <c r="Q83" s="9"/>
      <c r="R83" s="9"/>
      <c r="S83" s="9"/>
      <c r="T83" s="9"/>
      <c r="U83" s="9"/>
      <c r="V83" s="9"/>
      <c r="W83" s="9"/>
      <c r="X83" s="9"/>
      <c r="Y83" s="9"/>
      <c r="Z83" s="9"/>
    </row>
    <row r="84">
      <c r="A84" s="27"/>
      <c r="B84" s="28"/>
      <c r="C84" s="9"/>
      <c r="D84" s="9"/>
      <c r="E84" s="9"/>
      <c r="F84" s="9"/>
      <c r="G84" s="9"/>
      <c r="H84" s="9"/>
      <c r="I84" s="9"/>
      <c r="J84" s="9"/>
      <c r="K84" s="9"/>
      <c r="L84" s="9"/>
      <c r="M84" s="9"/>
      <c r="N84" s="9"/>
      <c r="O84" s="9"/>
      <c r="P84" s="9"/>
      <c r="Q84" s="9"/>
      <c r="R84" s="9"/>
      <c r="S84" s="9"/>
      <c r="T84" s="9"/>
      <c r="U84" s="9"/>
      <c r="V84" s="9"/>
      <c r="W84" s="9"/>
      <c r="X84" s="9"/>
      <c r="Y84" s="9"/>
      <c r="Z84" s="9"/>
    </row>
    <row r="85">
      <c r="A85" s="27"/>
      <c r="B85" s="28"/>
      <c r="C85" s="9"/>
      <c r="D85" s="9"/>
      <c r="E85" s="9"/>
      <c r="F85" s="9"/>
      <c r="G85" s="9"/>
      <c r="H85" s="9"/>
      <c r="I85" s="9"/>
      <c r="J85" s="9"/>
      <c r="K85" s="9"/>
      <c r="L85" s="9"/>
      <c r="M85" s="9"/>
      <c r="N85" s="9"/>
      <c r="O85" s="9"/>
      <c r="P85" s="9"/>
      <c r="Q85" s="9"/>
      <c r="R85" s="9"/>
      <c r="S85" s="9"/>
      <c r="T85" s="9"/>
      <c r="U85" s="9"/>
      <c r="V85" s="9"/>
      <c r="W85" s="9"/>
      <c r="X85" s="9"/>
      <c r="Y85" s="9"/>
      <c r="Z85" s="9"/>
    </row>
    <row r="86">
      <c r="A86" s="27"/>
      <c r="B86" s="28"/>
      <c r="C86" s="9"/>
      <c r="D86" s="9"/>
      <c r="E86" s="9"/>
      <c r="F86" s="9"/>
      <c r="G86" s="9"/>
      <c r="H86" s="9"/>
      <c r="I86" s="9"/>
      <c r="J86" s="9"/>
      <c r="K86" s="9"/>
      <c r="L86" s="9"/>
      <c r="M86" s="9"/>
      <c r="N86" s="9"/>
      <c r="O86" s="9"/>
      <c r="P86" s="9"/>
      <c r="Q86" s="9"/>
      <c r="R86" s="9"/>
      <c r="S86" s="9"/>
      <c r="T86" s="9"/>
      <c r="U86" s="9"/>
      <c r="V86" s="9"/>
      <c r="W86" s="9"/>
      <c r="X86" s="9"/>
      <c r="Y86" s="9"/>
      <c r="Z86" s="9"/>
    </row>
    <row r="87">
      <c r="A87" s="27"/>
      <c r="B87" s="28"/>
      <c r="C87" s="9"/>
      <c r="D87" s="9"/>
      <c r="E87" s="9"/>
      <c r="F87" s="9"/>
      <c r="G87" s="9"/>
      <c r="H87" s="9"/>
      <c r="I87" s="9"/>
      <c r="J87" s="9"/>
      <c r="K87" s="9"/>
      <c r="L87" s="9"/>
      <c r="M87" s="9"/>
      <c r="N87" s="9"/>
      <c r="O87" s="9"/>
      <c r="P87" s="9"/>
      <c r="Q87" s="9"/>
      <c r="R87" s="9"/>
      <c r="S87" s="9"/>
      <c r="T87" s="9"/>
      <c r="U87" s="9"/>
      <c r="V87" s="9"/>
      <c r="W87" s="9"/>
      <c r="X87" s="9"/>
      <c r="Y87" s="9"/>
      <c r="Z87" s="9"/>
    </row>
    <row r="88">
      <c r="A88" s="27"/>
      <c r="B88" s="28"/>
      <c r="C88" s="9"/>
      <c r="D88" s="9"/>
      <c r="E88" s="9"/>
      <c r="F88" s="9"/>
      <c r="G88" s="9"/>
      <c r="H88" s="9"/>
      <c r="I88" s="9"/>
      <c r="J88" s="9"/>
      <c r="K88" s="9"/>
      <c r="L88" s="9"/>
      <c r="M88" s="9"/>
      <c r="N88" s="9"/>
      <c r="O88" s="9"/>
      <c r="P88" s="9"/>
      <c r="Q88" s="9"/>
      <c r="R88" s="9"/>
      <c r="S88" s="9"/>
      <c r="T88" s="9"/>
      <c r="U88" s="9"/>
      <c r="V88" s="9"/>
      <c r="W88" s="9"/>
      <c r="X88" s="9"/>
      <c r="Y88" s="9"/>
      <c r="Z88" s="9"/>
    </row>
    <row r="89">
      <c r="A89" s="27"/>
      <c r="B89" s="28"/>
      <c r="C89" s="9"/>
      <c r="D89" s="9"/>
      <c r="E89" s="9"/>
      <c r="F89" s="9"/>
      <c r="G89" s="9"/>
      <c r="H89" s="9"/>
      <c r="I89" s="9"/>
      <c r="J89" s="9"/>
      <c r="K89" s="9"/>
      <c r="L89" s="9"/>
      <c r="M89" s="9"/>
      <c r="N89" s="9"/>
      <c r="O89" s="9"/>
      <c r="P89" s="9"/>
      <c r="Q89" s="9"/>
      <c r="R89" s="9"/>
      <c r="S89" s="9"/>
      <c r="T89" s="9"/>
      <c r="U89" s="9"/>
      <c r="V89" s="9"/>
      <c r="W89" s="9"/>
      <c r="X89" s="9"/>
      <c r="Y89" s="9"/>
      <c r="Z89" s="9"/>
    </row>
    <row r="90">
      <c r="A90" s="27"/>
      <c r="B90" s="28"/>
      <c r="C90" s="9"/>
      <c r="D90" s="9"/>
      <c r="E90" s="9"/>
      <c r="F90" s="9"/>
      <c r="G90" s="9"/>
      <c r="H90" s="9"/>
      <c r="I90" s="9"/>
      <c r="J90" s="9"/>
      <c r="K90" s="9"/>
      <c r="L90" s="9"/>
      <c r="M90" s="9"/>
      <c r="N90" s="9"/>
      <c r="O90" s="9"/>
      <c r="P90" s="9"/>
      <c r="Q90" s="9"/>
      <c r="R90" s="9"/>
      <c r="S90" s="9"/>
      <c r="T90" s="9"/>
      <c r="U90" s="9"/>
      <c r="V90" s="9"/>
      <c r="W90" s="9"/>
      <c r="X90" s="9"/>
      <c r="Y90" s="9"/>
      <c r="Z90" s="9"/>
    </row>
    <row r="91">
      <c r="A91" s="27"/>
      <c r="B91" s="28"/>
      <c r="C91" s="9"/>
      <c r="D91" s="9"/>
      <c r="E91" s="9"/>
      <c r="F91" s="9"/>
      <c r="G91" s="9"/>
      <c r="H91" s="9"/>
      <c r="I91" s="9"/>
      <c r="J91" s="9"/>
      <c r="K91" s="9"/>
      <c r="L91" s="9"/>
      <c r="M91" s="9"/>
      <c r="N91" s="9"/>
      <c r="O91" s="9"/>
      <c r="P91" s="9"/>
      <c r="Q91" s="9"/>
      <c r="R91" s="9"/>
      <c r="S91" s="9"/>
      <c r="T91" s="9"/>
      <c r="U91" s="9"/>
      <c r="V91" s="9"/>
      <c r="W91" s="9"/>
      <c r="X91" s="9"/>
      <c r="Y91" s="9"/>
      <c r="Z91" s="9"/>
    </row>
    <row r="92">
      <c r="A92" s="27"/>
      <c r="B92" s="28"/>
      <c r="C92" s="9"/>
      <c r="D92" s="9"/>
      <c r="E92" s="9"/>
      <c r="F92" s="9"/>
      <c r="G92" s="9"/>
      <c r="H92" s="9"/>
      <c r="I92" s="9"/>
      <c r="J92" s="9"/>
      <c r="K92" s="9"/>
      <c r="L92" s="9"/>
      <c r="M92" s="9"/>
      <c r="N92" s="9"/>
      <c r="O92" s="9"/>
      <c r="P92" s="9"/>
      <c r="Q92" s="9"/>
      <c r="R92" s="9"/>
      <c r="S92" s="9"/>
      <c r="T92" s="9"/>
      <c r="U92" s="9"/>
      <c r="V92" s="9"/>
      <c r="W92" s="9"/>
      <c r="X92" s="9"/>
      <c r="Y92" s="9"/>
      <c r="Z92" s="9"/>
    </row>
    <row r="93">
      <c r="A93" s="27"/>
      <c r="B93" s="28"/>
      <c r="C93" s="9"/>
      <c r="D93" s="9"/>
      <c r="E93" s="9"/>
      <c r="F93" s="9"/>
      <c r="G93" s="9"/>
      <c r="H93" s="9"/>
      <c r="I93" s="9"/>
      <c r="J93" s="9"/>
      <c r="K93" s="9"/>
      <c r="L93" s="9"/>
      <c r="M93" s="9"/>
      <c r="N93" s="9"/>
      <c r="O93" s="9"/>
      <c r="P93" s="9"/>
      <c r="Q93" s="9"/>
      <c r="R93" s="9"/>
      <c r="S93" s="9"/>
      <c r="T93" s="9"/>
      <c r="U93" s="9"/>
      <c r="V93" s="9"/>
      <c r="W93" s="9"/>
      <c r="X93" s="9"/>
      <c r="Y93" s="9"/>
      <c r="Z93" s="9"/>
    </row>
    <row r="94">
      <c r="A94" s="27"/>
      <c r="B94" s="28"/>
      <c r="C94" s="9"/>
      <c r="D94" s="9"/>
      <c r="E94" s="9"/>
      <c r="F94" s="9"/>
      <c r="G94" s="9"/>
      <c r="H94" s="9"/>
      <c r="I94" s="9"/>
      <c r="J94" s="9"/>
      <c r="K94" s="9"/>
      <c r="L94" s="9"/>
      <c r="M94" s="9"/>
      <c r="N94" s="9"/>
      <c r="O94" s="9"/>
      <c r="P94" s="9"/>
      <c r="Q94" s="9"/>
      <c r="R94" s="9"/>
      <c r="S94" s="9"/>
      <c r="T94" s="9"/>
      <c r="U94" s="9"/>
      <c r="V94" s="9"/>
      <c r="W94" s="9"/>
      <c r="X94" s="9"/>
      <c r="Y94" s="9"/>
      <c r="Z94" s="9"/>
    </row>
    <row r="95">
      <c r="A95" s="27"/>
      <c r="B95" s="28"/>
      <c r="C95" s="9"/>
      <c r="D95" s="9"/>
      <c r="E95" s="9"/>
      <c r="F95" s="9"/>
      <c r="G95" s="9"/>
      <c r="H95" s="9"/>
      <c r="I95" s="9"/>
      <c r="J95" s="9"/>
      <c r="K95" s="9"/>
      <c r="L95" s="9"/>
      <c r="M95" s="9"/>
      <c r="N95" s="9"/>
      <c r="O95" s="9"/>
      <c r="P95" s="9"/>
      <c r="Q95" s="9"/>
      <c r="R95" s="9"/>
      <c r="S95" s="9"/>
      <c r="T95" s="9"/>
      <c r="U95" s="9"/>
      <c r="V95" s="9"/>
      <c r="W95" s="9"/>
      <c r="X95" s="9"/>
      <c r="Y95" s="9"/>
      <c r="Z95" s="9"/>
    </row>
    <row r="96">
      <c r="A96" s="27"/>
      <c r="B96" s="28"/>
      <c r="C96" s="9"/>
      <c r="D96" s="9"/>
      <c r="E96" s="9"/>
      <c r="F96" s="9"/>
      <c r="G96" s="9"/>
      <c r="H96" s="9"/>
      <c r="I96" s="9"/>
      <c r="J96" s="9"/>
      <c r="K96" s="9"/>
      <c r="L96" s="9"/>
      <c r="M96" s="9"/>
      <c r="N96" s="9"/>
      <c r="O96" s="9"/>
      <c r="P96" s="9"/>
      <c r="Q96" s="9"/>
      <c r="R96" s="9"/>
      <c r="S96" s="9"/>
      <c r="T96" s="9"/>
      <c r="U96" s="9"/>
      <c r="V96" s="9"/>
      <c r="W96" s="9"/>
      <c r="X96" s="9"/>
      <c r="Y96" s="9"/>
      <c r="Z96" s="9"/>
    </row>
    <row r="97">
      <c r="A97" s="27"/>
      <c r="B97" s="28"/>
      <c r="C97" s="9"/>
      <c r="D97" s="9"/>
      <c r="E97" s="9"/>
      <c r="F97" s="9"/>
      <c r="G97" s="9"/>
      <c r="H97" s="9"/>
      <c r="I97" s="9"/>
      <c r="J97" s="9"/>
      <c r="K97" s="9"/>
      <c r="L97" s="9"/>
      <c r="M97" s="9"/>
      <c r="N97" s="9"/>
      <c r="O97" s="9"/>
      <c r="P97" s="9"/>
      <c r="Q97" s="9"/>
      <c r="R97" s="9"/>
      <c r="S97" s="9"/>
      <c r="T97" s="9"/>
      <c r="U97" s="9"/>
      <c r="V97" s="9"/>
      <c r="W97" s="9"/>
      <c r="X97" s="9"/>
      <c r="Y97" s="9"/>
      <c r="Z97" s="9"/>
    </row>
    <row r="98">
      <c r="A98" s="27"/>
      <c r="B98" s="28"/>
      <c r="C98" s="9"/>
      <c r="D98" s="9"/>
      <c r="E98" s="9"/>
      <c r="F98" s="9"/>
      <c r="G98" s="9"/>
      <c r="H98" s="9"/>
      <c r="I98" s="9"/>
      <c r="J98" s="9"/>
      <c r="K98" s="9"/>
      <c r="L98" s="9"/>
      <c r="M98" s="9"/>
      <c r="N98" s="9"/>
      <c r="O98" s="9"/>
      <c r="P98" s="9"/>
      <c r="Q98" s="9"/>
      <c r="R98" s="9"/>
      <c r="S98" s="9"/>
      <c r="T98" s="9"/>
      <c r="U98" s="9"/>
      <c r="V98" s="9"/>
      <c r="W98" s="9"/>
      <c r="X98" s="9"/>
      <c r="Y98" s="9"/>
      <c r="Z98" s="9"/>
    </row>
    <row r="99">
      <c r="A99" s="27"/>
      <c r="B99" s="28"/>
      <c r="C99" s="9"/>
      <c r="D99" s="9"/>
      <c r="E99" s="9"/>
      <c r="F99" s="9"/>
      <c r="G99" s="9"/>
      <c r="H99" s="9"/>
      <c r="I99" s="9"/>
      <c r="J99" s="9"/>
      <c r="K99" s="9"/>
      <c r="L99" s="9"/>
      <c r="M99" s="9"/>
      <c r="N99" s="9"/>
      <c r="O99" s="9"/>
      <c r="P99" s="9"/>
      <c r="Q99" s="9"/>
      <c r="R99" s="9"/>
      <c r="S99" s="9"/>
      <c r="T99" s="9"/>
      <c r="U99" s="9"/>
      <c r="V99" s="9"/>
      <c r="W99" s="9"/>
      <c r="X99" s="9"/>
      <c r="Y99" s="9"/>
      <c r="Z99" s="9"/>
    </row>
    <row r="100">
      <c r="A100" s="27"/>
      <c r="B100" s="28"/>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27"/>
      <c r="B101" s="28"/>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27"/>
      <c r="B102" s="28"/>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27"/>
      <c r="B103" s="28"/>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27"/>
      <c r="B104" s="28"/>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27"/>
      <c r="B105" s="28"/>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27"/>
      <c r="B106" s="28"/>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27"/>
      <c r="B107" s="28"/>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27"/>
      <c r="B108" s="28"/>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27"/>
      <c r="B109" s="28"/>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27"/>
      <c r="B110" s="28"/>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27"/>
      <c r="B111" s="28"/>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27"/>
      <c r="B112" s="28"/>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27"/>
      <c r="B113" s="28"/>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27"/>
      <c r="B114" s="28"/>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27"/>
      <c r="B115" s="28"/>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27"/>
      <c r="B116" s="28"/>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27"/>
      <c r="B117" s="28"/>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27"/>
      <c r="B118" s="28"/>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27"/>
      <c r="B119" s="28"/>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27"/>
      <c r="B120" s="28"/>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27"/>
      <c r="B121" s="28"/>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27"/>
      <c r="B122" s="28"/>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27"/>
      <c r="B123" s="28"/>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27"/>
      <c r="B124" s="28"/>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27"/>
      <c r="B125" s="28"/>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27"/>
      <c r="B126" s="28"/>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27"/>
      <c r="B127" s="28"/>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27"/>
      <c r="B128" s="28"/>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27"/>
      <c r="B129" s="28"/>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27"/>
      <c r="B130" s="28"/>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27"/>
      <c r="B131" s="28"/>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27"/>
      <c r="B132" s="28"/>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27"/>
      <c r="B133" s="28"/>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27"/>
      <c r="B134" s="28"/>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27"/>
      <c r="B135" s="28"/>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27"/>
      <c r="B136" s="28"/>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27"/>
      <c r="B137" s="28"/>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27"/>
      <c r="B138" s="28"/>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27"/>
      <c r="B139" s="28"/>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27"/>
      <c r="B140" s="28"/>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27"/>
      <c r="B141" s="28"/>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27"/>
      <c r="B142" s="28"/>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27"/>
      <c r="B143" s="28"/>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27"/>
      <c r="B144" s="28"/>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27"/>
      <c r="B145" s="28"/>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27"/>
      <c r="B146" s="28"/>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27"/>
      <c r="B147" s="28"/>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27"/>
      <c r="B148" s="28"/>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27"/>
      <c r="B149" s="28"/>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27"/>
      <c r="B150" s="28"/>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27"/>
      <c r="B151" s="28"/>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27"/>
      <c r="B152" s="28"/>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27"/>
      <c r="B153" s="28"/>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27"/>
      <c r="B154" s="28"/>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27"/>
      <c r="B155" s="28"/>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27"/>
      <c r="B156" s="28"/>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27"/>
      <c r="B157" s="28"/>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27"/>
      <c r="B158" s="28"/>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27"/>
      <c r="B159" s="28"/>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27"/>
      <c r="B160" s="28"/>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27"/>
      <c r="B161" s="28"/>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27"/>
      <c r="B162" s="28"/>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27"/>
      <c r="B163" s="28"/>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27"/>
      <c r="B164" s="28"/>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27"/>
      <c r="B165" s="28"/>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27"/>
      <c r="B166" s="28"/>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27"/>
      <c r="B167" s="28"/>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27"/>
      <c r="B168" s="28"/>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27"/>
      <c r="B169" s="28"/>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27"/>
      <c r="B170" s="28"/>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27"/>
      <c r="B171" s="28"/>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27"/>
      <c r="B172" s="28"/>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27"/>
      <c r="B173" s="28"/>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27"/>
      <c r="B174" s="28"/>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27"/>
      <c r="B175" s="28"/>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27"/>
      <c r="B176" s="28"/>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27"/>
      <c r="B177" s="28"/>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27"/>
      <c r="B178" s="28"/>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27"/>
      <c r="B179" s="28"/>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27"/>
      <c r="B180" s="28"/>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27"/>
      <c r="B181" s="28"/>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27"/>
      <c r="B182" s="28"/>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27"/>
      <c r="B183" s="28"/>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27"/>
      <c r="B184" s="28"/>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27"/>
      <c r="B185" s="28"/>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27"/>
      <c r="B186" s="28"/>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27"/>
      <c r="B187" s="28"/>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27"/>
      <c r="B188" s="28"/>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27"/>
      <c r="B189" s="28"/>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27"/>
      <c r="B190" s="28"/>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27"/>
      <c r="B191" s="28"/>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27"/>
      <c r="B192" s="28"/>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27"/>
      <c r="B193" s="28"/>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27"/>
      <c r="B194" s="28"/>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27"/>
      <c r="B195" s="28"/>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27"/>
      <c r="B196" s="28"/>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27"/>
      <c r="B197" s="28"/>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27"/>
      <c r="B198" s="28"/>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27"/>
      <c r="B199" s="28"/>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27"/>
      <c r="B200" s="28"/>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27"/>
      <c r="B201" s="28"/>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27"/>
      <c r="B202" s="28"/>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27"/>
      <c r="B203" s="28"/>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27"/>
      <c r="B204" s="28"/>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27"/>
      <c r="B205" s="28"/>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27"/>
      <c r="B206" s="28"/>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27"/>
      <c r="B207" s="28"/>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27"/>
      <c r="B208" s="28"/>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27"/>
      <c r="B209" s="28"/>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27"/>
      <c r="B210" s="28"/>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27"/>
      <c r="B211" s="28"/>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27"/>
      <c r="B212" s="28"/>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27"/>
      <c r="B213" s="28"/>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27"/>
      <c r="B214" s="28"/>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27"/>
      <c r="B215" s="28"/>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27"/>
      <c r="B216" s="28"/>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27"/>
      <c r="B217" s="28"/>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27"/>
      <c r="B218" s="28"/>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27"/>
      <c r="B219" s="28"/>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27"/>
      <c r="B220" s="28"/>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27"/>
      <c r="B221" s="28"/>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27"/>
      <c r="B222" s="28"/>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27"/>
      <c r="B223" s="28"/>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27"/>
      <c r="B224" s="28"/>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27"/>
      <c r="B225" s="28"/>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27"/>
      <c r="B226" s="28"/>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27"/>
      <c r="B227" s="28"/>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27"/>
      <c r="B228" s="28"/>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27"/>
      <c r="B229" s="28"/>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27"/>
      <c r="B230" s="28"/>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27"/>
      <c r="B231" s="28"/>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27"/>
      <c r="B232" s="28"/>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27"/>
      <c r="B233" s="28"/>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27"/>
      <c r="B234" s="28"/>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27"/>
      <c r="B235" s="28"/>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27"/>
      <c r="B236" s="28"/>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27"/>
      <c r="B237" s="28"/>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27"/>
      <c r="B238" s="28"/>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27"/>
      <c r="B239" s="28"/>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27"/>
      <c r="B240" s="28"/>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27"/>
      <c r="B241" s="28"/>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27"/>
      <c r="B242" s="28"/>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27"/>
      <c r="B243" s="28"/>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27"/>
      <c r="B244" s="28"/>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27"/>
      <c r="B245" s="28"/>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27"/>
      <c r="B246" s="28"/>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27"/>
      <c r="B247" s="28"/>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27"/>
      <c r="B248" s="28"/>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27"/>
      <c r="B249" s="28"/>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27"/>
      <c r="B250" s="28"/>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27"/>
      <c r="B251" s="28"/>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27"/>
      <c r="B252" s="28"/>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27"/>
      <c r="B253" s="28"/>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27"/>
      <c r="B254" s="28"/>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27"/>
      <c r="B255" s="28"/>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27"/>
      <c r="B256" s="28"/>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27"/>
      <c r="B257" s="28"/>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27"/>
      <c r="B258" s="28"/>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27"/>
      <c r="B259" s="28"/>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27"/>
      <c r="B260" s="28"/>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27"/>
      <c r="B261" s="28"/>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27"/>
      <c r="B262" s="28"/>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27"/>
      <c r="B263" s="28"/>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27"/>
      <c r="B264" s="28"/>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27"/>
      <c r="B265" s="28"/>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27"/>
      <c r="B266" s="28"/>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27"/>
      <c r="B267" s="28"/>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27"/>
      <c r="B268" s="28"/>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27"/>
      <c r="B269" s="28"/>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27"/>
      <c r="B270" s="28"/>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27"/>
      <c r="B271" s="28"/>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27"/>
      <c r="B272" s="28"/>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27"/>
      <c r="B273" s="28"/>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27"/>
      <c r="B274" s="28"/>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27"/>
      <c r="B275" s="28"/>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27"/>
      <c r="B276" s="28"/>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27"/>
      <c r="B277" s="28"/>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27"/>
      <c r="B278" s="28"/>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27"/>
      <c r="B279" s="28"/>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27"/>
      <c r="B280" s="28"/>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27"/>
      <c r="B281" s="28"/>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27"/>
      <c r="B282" s="28"/>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27"/>
      <c r="B283" s="28"/>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27"/>
      <c r="B284" s="28"/>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27"/>
      <c r="B285" s="28"/>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27"/>
      <c r="B286" s="28"/>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27"/>
      <c r="B287" s="28"/>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27"/>
      <c r="B288" s="28"/>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27"/>
      <c r="B289" s="28"/>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27"/>
      <c r="B290" s="28"/>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27"/>
      <c r="B291" s="28"/>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27"/>
      <c r="B292" s="28"/>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27"/>
      <c r="B293" s="28"/>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27"/>
      <c r="B294" s="28"/>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27"/>
      <c r="B295" s="28"/>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27"/>
      <c r="B296" s="28"/>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27"/>
      <c r="B297" s="28"/>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27"/>
      <c r="B298" s="28"/>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27"/>
      <c r="B299" s="28"/>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27"/>
      <c r="B300" s="28"/>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27"/>
      <c r="B301" s="28"/>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27"/>
      <c r="B302" s="28"/>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27"/>
      <c r="B303" s="28"/>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27"/>
      <c r="B304" s="28"/>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27"/>
      <c r="B305" s="28"/>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27"/>
      <c r="B306" s="28"/>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27"/>
      <c r="B307" s="28"/>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27"/>
      <c r="B308" s="28"/>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27"/>
      <c r="B309" s="28"/>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27"/>
      <c r="B310" s="28"/>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27"/>
      <c r="B311" s="28"/>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27"/>
      <c r="B312" s="28"/>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27"/>
      <c r="B313" s="28"/>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27"/>
      <c r="B314" s="28"/>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27"/>
      <c r="B315" s="28"/>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27"/>
      <c r="B316" s="28"/>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27"/>
      <c r="B317" s="28"/>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27"/>
      <c r="B318" s="28"/>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27"/>
      <c r="B319" s="28"/>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27"/>
      <c r="B320" s="28"/>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27"/>
      <c r="B321" s="28"/>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27"/>
      <c r="B322" s="28"/>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27"/>
      <c r="B323" s="28"/>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27"/>
      <c r="B324" s="28"/>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27"/>
      <c r="B325" s="28"/>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27"/>
      <c r="B326" s="28"/>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27"/>
      <c r="B327" s="28"/>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27"/>
      <c r="B328" s="28"/>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27"/>
      <c r="B329" s="28"/>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27"/>
      <c r="B330" s="28"/>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27"/>
      <c r="B331" s="28"/>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27"/>
      <c r="B332" s="28"/>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27"/>
      <c r="B333" s="28"/>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27"/>
      <c r="B334" s="28"/>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27"/>
      <c r="B335" s="28"/>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27"/>
      <c r="B336" s="28"/>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27"/>
      <c r="B337" s="28"/>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27"/>
      <c r="B338" s="28"/>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27"/>
      <c r="B339" s="28"/>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27"/>
      <c r="B340" s="28"/>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27"/>
      <c r="B341" s="28"/>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27"/>
      <c r="B342" s="28"/>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27"/>
      <c r="B343" s="28"/>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27"/>
      <c r="B344" s="28"/>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27"/>
      <c r="B345" s="28"/>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27"/>
      <c r="B346" s="28"/>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27"/>
      <c r="B347" s="28"/>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27"/>
      <c r="B348" s="28"/>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27"/>
      <c r="B349" s="28"/>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27"/>
      <c r="B350" s="28"/>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27"/>
      <c r="B351" s="28"/>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27"/>
      <c r="B352" s="28"/>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27"/>
      <c r="B353" s="28"/>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27"/>
      <c r="B354" s="28"/>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27"/>
      <c r="B355" s="28"/>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27"/>
      <c r="B356" s="28"/>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27"/>
      <c r="B357" s="28"/>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27"/>
      <c r="B358" s="28"/>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27"/>
      <c r="B359" s="28"/>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27"/>
      <c r="B360" s="28"/>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27"/>
      <c r="B361" s="28"/>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27"/>
      <c r="B362" s="28"/>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27"/>
      <c r="B363" s="28"/>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27"/>
      <c r="B364" s="28"/>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27"/>
      <c r="B365" s="28"/>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27"/>
      <c r="B366" s="28"/>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27"/>
      <c r="B367" s="28"/>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27"/>
      <c r="B368" s="28"/>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27"/>
      <c r="B369" s="28"/>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27"/>
      <c r="B370" s="28"/>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27"/>
      <c r="B371" s="28"/>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27"/>
      <c r="B372" s="28"/>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27"/>
      <c r="B373" s="28"/>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27"/>
      <c r="B374" s="28"/>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27"/>
      <c r="B375" s="28"/>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27"/>
      <c r="B376" s="28"/>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27"/>
      <c r="B377" s="28"/>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27"/>
      <c r="B378" s="28"/>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27"/>
      <c r="B379" s="28"/>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27"/>
      <c r="B380" s="28"/>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27"/>
      <c r="B381" s="28"/>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27"/>
      <c r="B382" s="28"/>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27"/>
      <c r="B383" s="28"/>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27"/>
      <c r="B384" s="28"/>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27"/>
      <c r="B385" s="28"/>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27"/>
      <c r="B386" s="28"/>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27"/>
      <c r="B387" s="28"/>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27"/>
      <c r="B388" s="28"/>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27"/>
      <c r="B389" s="28"/>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27"/>
      <c r="B390" s="28"/>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27"/>
      <c r="B391" s="28"/>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27"/>
      <c r="B392" s="28"/>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27"/>
      <c r="B393" s="28"/>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27"/>
      <c r="B394" s="28"/>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27"/>
      <c r="B395" s="28"/>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27"/>
      <c r="B396" s="28"/>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27"/>
      <c r="B397" s="28"/>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27"/>
      <c r="B398" s="28"/>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27"/>
      <c r="B399" s="28"/>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27"/>
      <c r="B400" s="28"/>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27"/>
      <c r="B401" s="28"/>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27"/>
      <c r="B402" s="28"/>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27"/>
      <c r="B403" s="28"/>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27"/>
      <c r="B404" s="28"/>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27"/>
      <c r="B405" s="28"/>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27"/>
      <c r="B406" s="28"/>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27"/>
      <c r="B407" s="28"/>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27"/>
      <c r="B408" s="28"/>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27"/>
      <c r="B409" s="28"/>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27"/>
      <c r="B410" s="28"/>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27"/>
      <c r="B411" s="28"/>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27"/>
      <c r="B412" s="28"/>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27"/>
      <c r="B413" s="28"/>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27"/>
      <c r="B414" s="28"/>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27"/>
      <c r="B415" s="28"/>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27"/>
      <c r="B416" s="28"/>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27"/>
      <c r="B417" s="28"/>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27"/>
      <c r="B418" s="28"/>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27"/>
      <c r="B419" s="28"/>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27"/>
      <c r="B420" s="28"/>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27"/>
      <c r="B421" s="28"/>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27"/>
      <c r="B422" s="28"/>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27"/>
      <c r="B423" s="28"/>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27"/>
      <c r="B424" s="28"/>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27"/>
      <c r="B425" s="28"/>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27"/>
      <c r="B426" s="28"/>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27"/>
      <c r="B427" s="28"/>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27"/>
      <c r="B428" s="28"/>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27"/>
      <c r="B429" s="28"/>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27"/>
      <c r="B430" s="28"/>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27"/>
      <c r="B431" s="28"/>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27"/>
      <c r="B432" s="28"/>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27"/>
      <c r="B433" s="28"/>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27"/>
      <c r="B434" s="28"/>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27"/>
      <c r="B435" s="28"/>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27"/>
      <c r="B436" s="28"/>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27"/>
      <c r="B437" s="28"/>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27"/>
      <c r="B438" s="28"/>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27"/>
      <c r="B439" s="28"/>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27"/>
      <c r="B440" s="28"/>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27"/>
      <c r="B441" s="28"/>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27"/>
      <c r="B442" s="28"/>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27"/>
      <c r="B443" s="28"/>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27"/>
      <c r="B444" s="28"/>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27"/>
      <c r="B445" s="28"/>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27"/>
      <c r="B446" s="28"/>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27"/>
      <c r="B447" s="28"/>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27"/>
      <c r="B448" s="28"/>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27"/>
      <c r="B449" s="28"/>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27"/>
      <c r="B450" s="28"/>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27"/>
      <c r="B451" s="28"/>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27"/>
      <c r="B452" s="28"/>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27"/>
      <c r="B453" s="28"/>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27"/>
      <c r="B454" s="28"/>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27"/>
      <c r="B455" s="28"/>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27"/>
      <c r="B456" s="28"/>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27"/>
      <c r="B457" s="28"/>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27"/>
      <c r="B458" s="28"/>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27"/>
      <c r="B459" s="28"/>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27"/>
      <c r="B460" s="28"/>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27"/>
      <c r="B461" s="28"/>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27"/>
      <c r="B462" s="28"/>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27"/>
      <c r="B463" s="28"/>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27"/>
      <c r="B464" s="28"/>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27"/>
      <c r="B465" s="28"/>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27"/>
      <c r="B466" s="28"/>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27"/>
      <c r="B467" s="28"/>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27"/>
      <c r="B468" s="28"/>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27"/>
      <c r="B469" s="28"/>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27"/>
      <c r="B470" s="28"/>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27"/>
      <c r="B471" s="28"/>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27"/>
      <c r="B472" s="28"/>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27"/>
      <c r="B473" s="28"/>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27"/>
      <c r="B474" s="28"/>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27"/>
      <c r="B475" s="28"/>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27"/>
      <c r="B476" s="28"/>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27"/>
      <c r="B477" s="28"/>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27"/>
      <c r="B478" s="28"/>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27"/>
      <c r="B479" s="28"/>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27"/>
      <c r="B480" s="28"/>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27"/>
      <c r="B481" s="28"/>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27"/>
      <c r="B482" s="28"/>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27"/>
      <c r="B483" s="28"/>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27"/>
      <c r="B484" s="28"/>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27"/>
      <c r="B485" s="28"/>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27"/>
      <c r="B486" s="28"/>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27"/>
      <c r="B487" s="28"/>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27"/>
      <c r="B488" s="28"/>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27"/>
      <c r="B489" s="28"/>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27"/>
      <c r="B490" s="28"/>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27"/>
      <c r="B491" s="28"/>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27"/>
      <c r="B492" s="28"/>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27"/>
      <c r="B493" s="28"/>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27"/>
      <c r="B494" s="28"/>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27"/>
      <c r="B495" s="28"/>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27"/>
      <c r="B496" s="28"/>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27"/>
      <c r="B497" s="28"/>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27"/>
      <c r="B498" s="28"/>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27"/>
      <c r="B499" s="28"/>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27"/>
      <c r="B500" s="28"/>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27"/>
      <c r="B501" s="28"/>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27"/>
      <c r="B502" s="28"/>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27"/>
      <c r="B503" s="28"/>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27"/>
      <c r="B504" s="28"/>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27"/>
      <c r="B505" s="28"/>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27"/>
      <c r="B506" s="28"/>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27"/>
      <c r="B507" s="28"/>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27"/>
      <c r="B508" s="28"/>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27"/>
      <c r="B509" s="28"/>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27"/>
      <c r="B510" s="28"/>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27"/>
      <c r="B511" s="28"/>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27"/>
      <c r="B512" s="28"/>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27"/>
      <c r="B513" s="28"/>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27"/>
      <c r="B514" s="28"/>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27"/>
      <c r="B515" s="28"/>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27"/>
      <c r="B516" s="28"/>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27"/>
      <c r="B517" s="28"/>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27"/>
      <c r="B518" s="28"/>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27"/>
      <c r="B519" s="28"/>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27"/>
      <c r="B520" s="28"/>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27"/>
      <c r="B521" s="28"/>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27"/>
      <c r="B522" s="28"/>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27"/>
      <c r="B523" s="28"/>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27"/>
      <c r="B524" s="28"/>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27"/>
      <c r="B525" s="28"/>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27"/>
      <c r="B526" s="28"/>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27"/>
      <c r="B527" s="28"/>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27"/>
      <c r="B528" s="28"/>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27"/>
      <c r="B529" s="28"/>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27"/>
      <c r="B530" s="28"/>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27"/>
      <c r="B531" s="28"/>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27"/>
      <c r="B532" s="28"/>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27"/>
      <c r="B533" s="28"/>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27"/>
      <c r="B534" s="28"/>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27"/>
      <c r="B535" s="28"/>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27"/>
      <c r="B536" s="28"/>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27"/>
      <c r="B537" s="28"/>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27"/>
      <c r="B538" s="28"/>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27"/>
      <c r="B539" s="28"/>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27"/>
      <c r="B540" s="28"/>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27"/>
      <c r="B541" s="28"/>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27"/>
      <c r="B542" s="28"/>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27"/>
      <c r="B543" s="28"/>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27"/>
      <c r="B544" s="28"/>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27"/>
      <c r="B545" s="28"/>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27"/>
      <c r="B546" s="28"/>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27"/>
      <c r="B547" s="28"/>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27"/>
      <c r="B548" s="28"/>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27"/>
      <c r="B549" s="28"/>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27"/>
      <c r="B550" s="28"/>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27"/>
      <c r="B551" s="28"/>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27"/>
      <c r="B552" s="28"/>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27"/>
      <c r="B553" s="28"/>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27"/>
      <c r="B554" s="28"/>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27"/>
      <c r="B555" s="28"/>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27"/>
      <c r="B556" s="28"/>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27"/>
      <c r="B557" s="28"/>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27"/>
      <c r="B558" s="28"/>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27"/>
      <c r="B559" s="28"/>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27"/>
      <c r="B560" s="28"/>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27"/>
      <c r="B561" s="28"/>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27"/>
      <c r="B562" s="28"/>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27"/>
      <c r="B563" s="28"/>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27"/>
      <c r="B564" s="28"/>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27"/>
      <c r="B565" s="28"/>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27"/>
      <c r="B566" s="28"/>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27"/>
      <c r="B567" s="28"/>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27"/>
      <c r="B568" s="28"/>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27"/>
      <c r="B569" s="28"/>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27"/>
      <c r="B570" s="28"/>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27"/>
      <c r="B571" s="28"/>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27"/>
      <c r="B572" s="28"/>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27"/>
      <c r="B573" s="28"/>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27"/>
      <c r="B574" s="28"/>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27"/>
      <c r="B575" s="28"/>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27"/>
      <c r="B576" s="28"/>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27"/>
      <c r="B577" s="28"/>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27"/>
      <c r="B578" s="28"/>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27"/>
      <c r="B579" s="28"/>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27"/>
      <c r="B580" s="28"/>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27"/>
      <c r="B581" s="28"/>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27"/>
      <c r="B582" s="28"/>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27"/>
      <c r="B583" s="28"/>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27"/>
      <c r="B584" s="28"/>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27"/>
      <c r="B585" s="28"/>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27"/>
      <c r="B586" s="28"/>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27"/>
      <c r="B587" s="28"/>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27"/>
      <c r="B588" s="28"/>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27"/>
      <c r="B589" s="28"/>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27"/>
      <c r="B590" s="28"/>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27"/>
      <c r="B591" s="28"/>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27"/>
      <c r="B592" s="28"/>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27"/>
      <c r="B593" s="28"/>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27"/>
      <c r="B594" s="28"/>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27"/>
      <c r="B595" s="28"/>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27"/>
      <c r="B596" s="28"/>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27"/>
      <c r="B597" s="28"/>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27"/>
      <c r="B598" s="28"/>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27"/>
      <c r="B599" s="28"/>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27"/>
      <c r="B600" s="28"/>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27"/>
      <c r="B601" s="28"/>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27"/>
      <c r="B602" s="28"/>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27"/>
      <c r="B603" s="28"/>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27"/>
      <c r="B604" s="28"/>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27"/>
      <c r="B605" s="28"/>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27"/>
      <c r="B606" s="28"/>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27"/>
      <c r="B607" s="28"/>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27"/>
      <c r="B608" s="28"/>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27"/>
      <c r="B609" s="28"/>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27"/>
      <c r="B610" s="28"/>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27"/>
      <c r="B611" s="28"/>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27"/>
      <c r="B612" s="28"/>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27"/>
      <c r="B613" s="28"/>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27"/>
      <c r="B614" s="28"/>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27"/>
      <c r="B615" s="28"/>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27"/>
      <c r="B616" s="28"/>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27"/>
      <c r="B617" s="28"/>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27"/>
      <c r="B618" s="28"/>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27"/>
      <c r="B619" s="28"/>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27"/>
      <c r="B620" s="28"/>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27"/>
      <c r="B621" s="28"/>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27"/>
      <c r="B622" s="28"/>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27"/>
      <c r="B623" s="28"/>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27"/>
      <c r="B624" s="28"/>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27"/>
      <c r="B625" s="28"/>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27"/>
      <c r="B626" s="28"/>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27"/>
      <c r="B627" s="28"/>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27"/>
      <c r="B628" s="28"/>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27"/>
      <c r="B629" s="28"/>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27"/>
      <c r="B630" s="28"/>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27"/>
      <c r="B631" s="28"/>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27"/>
      <c r="B632" s="28"/>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27"/>
      <c r="B633" s="28"/>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27"/>
      <c r="B634" s="28"/>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27"/>
      <c r="B635" s="28"/>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27"/>
      <c r="B636" s="28"/>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27"/>
      <c r="B637" s="28"/>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27"/>
      <c r="B638" s="28"/>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27"/>
      <c r="B639" s="28"/>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27"/>
      <c r="B640" s="28"/>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27"/>
      <c r="B641" s="28"/>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27"/>
      <c r="B642" s="28"/>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27"/>
      <c r="B643" s="28"/>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27"/>
      <c r="B644" s="28"/>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27"/>
      <c r="B645" s="28"/>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27"/>
      <c r="B646" s="28"/>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27"/>
      <c r="B647" s="28"/>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27"/>
      <c r="B648" s="28"/>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27"/>
      <c r="B649" s="28"/>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27"/>
      <c r="B650" s="28"/>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27"/>
      <c r="B651" s="28"/>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27"/>
      <c r="B652" s="28"/>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27"/>
      <c r="B653" s="28"/>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27"/>
      <c r="B654" s="28"/>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27"/>
      <c r="B655" s="28"/>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27"/>
      <c r="B656" s="28"/>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27"/>
      <c r="B657" s="28"/>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27"/>
      <c r="B658" s="28"/>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27"/>
      <c r="B659" s="28"/>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27"/>
      <c r="B660" s="28"/>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27"/>
      <c r="B661" s="28"/>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27"/>
      <c r="B662" s="28"/>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27"/>
      <c r="B663" s="28"/>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27"/>
      <c r="B664" s="28"/>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27"/>
      <c r="B665" s="28"/>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27"/>
      <c r="B666" s="28"/>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27"/>
      <c r="B667" s="28"/>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27"/>
      <c r="B668" s="28"/>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27"/>
      <c r="B669" s="28"/>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27"/>
      <c r="B670" s="28"/>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27"/>
      <c r="B671" s="28"/>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27"/>
      <c r="B672" s="28"/>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27"/>
      <c r="B673" s="28"/>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27"/>
      <c r="B674" s="28"/>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27"/>
      <c r="B675" s="28"/>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27"/>
      <c r="B676" s="28"/>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27"/>
      <c r="B677" s="28"/>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27"/>
      <c r="B678" s="28"/>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27"/>
      <c r="B679" s="28"/>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27"/>
      <c r="B680" s="28"/>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27"/>
      <c r="B681" s="28"/>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27"/>
      <c r="B682" s="28"/>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27"/>
      <c r="B683" s="28"/>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27"/>
      <c r="B684" s="28"/>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27"/>
      <c r="B685" s="28"/>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27"/>
      <c r="B686" s="28"/>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27"/>
      <c r="B687" s="28"/>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27"/>
      <c r="B688" s="28"/>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27"/>
      <c r="B689" s="28"/>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27"/>
      <c r="B690" s="28"/>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27"/>
      <c r="B691" s="28"/>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27"/>
      <c r="B692" s="28"/>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27"/>
      <c r="B693" s="28"/>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27"/>
      <c r="B694" s="28"/>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27"/>
      <c r="B695" s="28"/>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27"/>
      <c r="B696" s="28"/>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27"/>
      <c r="B697" s="28"/>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27"/>
      <c r="B698" s="28"/>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27"/>
      <c r="B699" s="28"/>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27"/>
      <c r="B700" s="28"/>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27"/>
      <c r="B701" s="28"/>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27"/>
      <c r="B702" s="28"/>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27"/>
      <c r="B703" s="28"/>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27"/>
      <c r="B704" s="28"/>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27"/>
      <c r="B705" s="28"/>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27"/>
      <c r="B706" s="28"/>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27"/>
      <c r="B707" s="28"/>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27"/>
      <c r="B708" s="28"/>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27"/>
      <c r="B709" s="28"/>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27"/>
      <c r="B710" s="28"/>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27"/>
      <c r="B711" s="28"/>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27"/>
      <c r="B712" s="28"/>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27"/>
      <c r="B713" s="28"/>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27"/>
      <c r="B714" s="28"/>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27"/>
      <c r="B715" s="28"/>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27"/>
      <c r="B716" s="28"/>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27"/>
      <c r="B717" s="28"/>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27"/>
      <c r="B718" s="28"/>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27"/>
      <c r="B719" s="28"/>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27"/>
      <c r="B720" s="28"/>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27"/>
      <c r="B721" s="28"/>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27"/>
      <c r="B722" s="28"/>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27"/>
      <c r="B723" s="28"/>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27"/>
      <c r="B724" s="28"/>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27"/>
      <c r="B725" s="28"/>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27"/>
      <c r="B726" s="28"/>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27"/>
      <c r="B727" s="28"/>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27"/>
      <c r="B728" s="28"/>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27"/>
      <c r="B729" s="28"/>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27"/>
      <c r="B730" s="28"/>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27"/>
      <c r="B731" s="28"/>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27"/>
      <c r="B732" s="28"/>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27"/>
      <c r="B733" s="28"/>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27"/>
      <c r="B734" s="28"/>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27"/>
      <c r="B735" s="28"/>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27"/>
      <c r="B736" s="28"/>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27"/>
      <c r="B737" s="28"/>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27"/>
      <c r="B738" s="28"/>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27"/>
      <c r="B739" s="28"/>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27"/>
      <c r="B740" s="28"/>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27"/>
      <c r="B741" s="28"/>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27"/>
      <c r="B742" s="28"/>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27"/>
      <c r="B743" s="28"/>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27"/>
      <c r="B744" s="28"/>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27"/>
      <c r="B745" s="28"/>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27"/>
      <c r="B746" s="28"/>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27"/>
      <c r="B747" s="28"/>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27"/>
      <c r="B748" s="28"/>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27"/>
      <c r="B749" s="28"/>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27"/>
      <c r="B750" s="28"/>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27"/>
      <c r="B751" s="28"/>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27"/>
      <c r="B752" s="28"/>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27"/>
      <c r="B753" s="28"/>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27"/>
      <c r="B754" s="28"/>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27"/>
      <c r="B755" s="28"/>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27"/>
      <c r="B756" s="28"/>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27"/>
      <c r="B757" s="28"/>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27"/>
      <c r="B758" s="28"/>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27"/>
      <c r="B759" s="28"/>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27"/>
      <c r="B760" s="28"/>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27"/>
      <c r="B761" s="28"/>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27"/>
      <c r="B762" s="28"/>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27"/>
      <c r="B763" s="28"/>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27"/>
      <c r="B764" s="28"/>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27"/>
      <c r="B765" s="28"/>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27"/>
      <c r="B766" s="28"/>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27"/>
      <c r="B767" s="28"/>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27"/>
      <c r="B768" s="28"/>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27"/>
      <c r="B769" s="28"/>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27"/>
      <c r="B770" s="28"/>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27"/>
      <c r="B771" s="28"/>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27"/>
      <c r="B772" s="28"/>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27"/>
      <c r="B773" s="28"/>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27"/>
      <c r="B774" s="28"/>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27"/>
      <c r="B775" s="28"/>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27"/>
      <c r="B776" s="28"/>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27"/>
      <c r="B777" s="28"/>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27"/>
      <c r="B778" s="28"/>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27"/>
      <c r="B779" s="28"/>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27"/>
      <c r="B780" s="28"/>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27"/>
      <c r="B781" s="28"/>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27"/>
      <c r="B782" s="28"/>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27"/>
      <c r="B783" s="28"/>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27"/>
      <c r="B784" s="28"/>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27"/>
      <c r="B785" s="28"/>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27"/>
      <c r="B786" s="28"/>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27"/>
      <c r="B787" s="28"/>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27"/>
      <c r="B788" s="28"/>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27"/>
      <c r="B789" s="28"/>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27"/>
      <c r="B790" s="28"/>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27"/>
      <c r="B791" s="28"/>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27"/>
      <c r="B792" s="28"/>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27"/>
      <c r="B793" s="28"/>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27"/>
      <c r="B794" s="28"/>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27"/>
      <c r="B795" s="28"/>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27"/>
      <c r="B796" s="28"/>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27"/>
      <c r="B797" s="28"/>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27"/>
      <c r="B798" s="28"/>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27"/>
      <c r="B799" s="28"/>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27"/>
      <c r="B800" s="28"/>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27"/>
      <c r="B801" s="28"/>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27"/>
      <c r="B802" s="28"/>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27"/>
      <c r="B803" s="28"/>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27"/>
      <c r="B804" s="28"/>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27"/>
      <c r="B805" s="28"/>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27"/>
      <c r="B806" s="28"/>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27"/>
      <c r="B807" s="28"/>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27"/>
      <c r="B808" s="28"/>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27"/>
      <c r="B809" s="28"/>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27"/>
      <c r="B810" s="28"/>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27"/>
      <c r="B811" s="28"/>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27"/>
      <c r="B812" s="28"/>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27"/>
      <c r="B813" s="28"/>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27"/>
      <c r="B814" s="28"/>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27"/>
      <c r="B815" s="28"/>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27"/>
      <c r="B816" s="28"/>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27"/>
      <c r="B817" s="28"/>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27"/>
      <c r="B818" s="28"/>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27"/>
      <c r="B819" s="28"/>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27"/>
      <c r="B820" s="28"/>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27"/>
      <c r="B821" s="28"/>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27"/>
      <c r="B822" s="28"/>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27"/>
      <c r="B823" s="28"/>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27"/>
      <c r="B824" s="28"/>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27"/>
      <c r="B825" s="28"/>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27"/>
      <c r="B826" s="28"/>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27"/>
      <c r="B827" s="28"/>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27"/>
      <c r="B828" s="28"/>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27"/>
      <c r="B829" s="28"/>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27"/>
      <c r="B830" s="28"/>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27"/>
      <c r="B831" s="28"/>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27"/>
      <c r="B832" s="28"/>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27"/>
      <c r="B833" s="28"/>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27"/>
      <c r="B834" s="28"/>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27"/>
      <c r="B835" s="28"/>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27"/>
      <c r="B836" s="28"/>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27"/>
      <c r="B837" s="28"/>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27"/>
      <c r="B838" s="28"/>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27"/>
      <c r="B839" s="28"/>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27"/>
      <c r="B840" s="28"/>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27"/>
      <c r="B841" s="28"/>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27"/>
      <c r="B842" s="28"/>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27"/>
      <c r="B843" s="28"/>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27"/>
      <c r="B844" s="28"/>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27"/>
      <c r="B845" s="28"/>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27"/>
      <c r="B846" s="28"/>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27"/>
      <c r="B847" s="28"/>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27"/>
      <c r="B848" s="28"/>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27"/>
      <c r="B849" s="28"/>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27"/>
      <c r="B850" s="28"/>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27"/>
      <c r="B851" s="28"/>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27"/>
      <c r="B852" s="28"/>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27"/>
      <c r="B853" s="28"/>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27"/>
      <c r="B854" s="28"/>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27"/>
      <c r="B855" s="28"/>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27"/>
      <c r="B856" s="28"/>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27"/>
      <c r="B857" s="28"/>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27"/>
      <c r="B858" s="28"/>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27"/>
      <c r="B859" s="28"/>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27"/>
      <c r="B860" s="28"/>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27"/>
      <c r="B861" s="28"/>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27"/>
      <c r="B862" s="28"/>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27"/>
      <c r="B863" s="28"/>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27"/>
      <c r="B864" s="28"/>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27"/>
      <c r="B865" s="28"/>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27"/>
      <c r="B866" s="28"/>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27"/>
      <c r="B867" s="28"/>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27"/>
      <c r="B868" s="28"/>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27"/>
      <c r="B869" s="28"/>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27"/>
      <c r="B870" s="28"/>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27"/>
      <c r="B871" s="28"/>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27"/>
      <c r="B872" s="28"/>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27"/>
      <c r="B873" s="28"/>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27"/>
      <c r="B874" s="28"/>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27"/>
      <c r="B875" s="28"/>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27"/>
      <c r="B876" s="28"/>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27"/>
      <c r="B877" s="28"/>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27"/>
      <c r="B878" s="28"/>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27"/>
      <c r="B879" s="28"/>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27"/>
      <c r="B880" s="28"/>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27"/>
      <c r="B881" s="28"/>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27"/>
      <c r="B882" s="28"/>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27"/>
      <c r="B883" s="28"/>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27"/>
      <c r="B884" s="28"/>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27"/>
      <c r="B885" s="28"/>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27"/>
      <c r="B886" s="28"/>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27"/>
      <c r="B887" s="28"/>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27"/>
      <c r="B888" s="28"/>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27"/>
      <c r="B889" s="28"/>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27"/>
      <c r="B890" s="28"/>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27"/>
      <c r="B891" s="28"/>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27"/>
      <c r="B892" s="28"/>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27"/>
      <c r="B893" s="28"/>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27"/>
      <c r="B894" s="28"/>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27"/>
      <c r="B895" s="28"/>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27"/>
      <c r="B896" s="28"/>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27"/>
      <c r="B897" s="28"/>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27"/>
      <c r="B898" s="28"/>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27"/>
      <c r="B899" s="28"/>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27"/>
      <c r="B900" s="28"/>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27"/>
      <c r="B901" s="28"/>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27"/>
      <c r="B902" s="28"/>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27"/>
      <c r="B903" s="28"/>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27"/>
      <c r="B904" s="28"/>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27"/>
      <c r="B905" s="28"/>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27"/>
      <c r="B906" s="28"/>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27"/>
      <c r="B907" s="28"/>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27"/>
      <c r="B908" s="28"/>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27"/>
      <c r="B909" s="28"/>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27"/>
      <c r="B910" s="28"/>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27"/>
      <c r="B911" s="28"/>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27"/>
      <c r="B912" s="28"/>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27"/>
      <c r="B913" s="28"/>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27"/>
      <c r="B914" s="28"/>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27"/>
      <c r="B915" s="28"/>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27"/>
      <c r="B916" s="28"/>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27"/>
      <c r="B917" s="28"/>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27"/>
      <c r="B918" s="28"/>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27"/>
      <c r="B919" s="28"/>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27"/>
      <c r="B920" s="28"/>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27"/>
      <c r="B921" s="28"/>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27"/>
      <c r="B922" s="28"/>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27"/>
      <c r="B923" s="28"/>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27"/>
      <c r="B924" s="28"/>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27"/>
      <c r="B925" s="28"/>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27"/>
      <c r="B926" s="28"/>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27"/>
      <c r="B927" s="28"/>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27"/>
      <c r="B928" s="28"/>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27"/>
      <c r="B929" s="28"/>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27"/>
      <c r="B930" s="28"/>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27"/>
      <c r="B931" s="28"/>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27"/>
      <c r="B932" s="28"/>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27"/>
      <c r="B933" s="28"/>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27"/>
      <c r="B934" s="28"/>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27"/>
      <c r="B935" s="28"/>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27"/>
      <c r="B936" s="28"/>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27"/>
      <c r="B937" s="28"/>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27"/>
      <c r="B938" s="28"/>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27"/>
      <c r="B939" s="28"/>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27"/>
      <c r="B940" s="28"/>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27"/>
      <c r="B941" s="28"/>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27"/>
      <c r="B942" s="28"/>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27"/>
      <c r="B943" s="28"/>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27"/>
      <c r="B944" s="28"/>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27"/>
      <c r="B945" s="28"/>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27"/>
      <c r="B946" s="28"/>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27"/>
      <c r="B947" s="28"/>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27"/>
      <c r="B948" s="28"/>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27"/>
      <c r="B949" s="28"/>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27"/>
      <c r="B950" s="28"/>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27"/>
      <c r="B951" s="28"/>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27"/>
      <c r="B952" s="28"/>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27"/>
      <c r="B953" s="28"/>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27"/>
      <c r="B954" s="28"/>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27"/>
      <c r="B955" s="28"/>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27"/>
      <c r="B956" s="28"/>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27"/>
      <c r="B957" s="28"/>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27"/>
      <c r="B958" s="28"/>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27"/>
      <c r="B959" s="28"/>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27"/>
      <c r="B960" s="28"/>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27"/>
      <c r="B961" s="28"/>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27"/>
      <c r="B962" s="28"/>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27"/>
      <c r="B963" s="28"/>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27"/>
      <c r="B964" s="28"/>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27"/>
      <c r="B965" s="28"/>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27"/>
      <c r="B966" s="28"/>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27"/>
      <c r="B967" s="28"/>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27"/>
      <c r="B968" s="28"/>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27"/>
      <c r="B969" s="28"/>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27"/>
      <c r="B970" s="28"/>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27"/>
      <c r="B971" s="28"/>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27"/>
      <c r="B972" s="28"/>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27"/>
      <c r="B973" s="28"/>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27"/>
      <c r="B974" s="28"/>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27"/>
      <c r="B975" s="28"/>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27"/>
      <c r="B976" s="28"/>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27"/>
      <c r="B977" s="28"/>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27"/>
      <c r="B978" s="28"/>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27"/>
      <c r="B979" s="28"/>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27"/>
      <c r="B980" s="28"/>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27"/>
      <c r="B981" s="28"/>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27"/>
      <c r="B982" s="28"/>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27"/>
      <c r="B983" s="28"/>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27"/>
      <c r="B984" s="28"/>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27"/>
      <c r="B985" s="28"/>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27"/>
      <c r="B986" s="28"/>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27"/>
      <c r="B987" s="28"/>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27"/>
      <c r="B988" s="28"/>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27"/>
      <c r="B989" s="28"/>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27"/>
      <c r="B990" s="28"/>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27"/>
      <c r="B991" s="28"/>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27"/>
      <c r="B992" s="28"/>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27"/>
      <c r="B993" s="28"/>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27"/>
      <c r="B994" s="28"/>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27"/>
      <c r="B995" s="28"/>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27"/>
      <c r="B996" s="28"/>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27"/>
      <c r="B997" s="28"/>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27"/>
      <c r="B998" s="28"/>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27"/>
      <c r="B999" s="28"/>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27"/>
      <c r="B1000" s="28"/>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 r="A1001" s="27"/>
      <c r="B1001" s="28"/>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c r="A1002" s="27"/>
      <c r="B1002" s="28"/>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c r="A1003" s="27"/>
      <c r="B1003" s="28"/>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row r="1004">
      <c r="A1004" s="27"/>
      <c r="B1004" s="28"/>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row>
    <row r="1005">
      <c r="A1005" s="27"/>
      <c r="B1005" s="28"/>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row>
    <row r="1006">
      <c r="A1006" s="27"/>
      <c r="B1006" s="28"/>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62</v>
      </c>
      <c r="D1" s="7" t="s">
        <v>63</v>
      </c>
      <c r="E1" s="15" t="s">
        <v>64</v>
      </c>
      <c r="F1" s="6" t="s">
        <v>27</v>
      </c>
      <c r="G1" s="29" t="s">
        <v>13</v>
      </c>
      <c r="H1" s="29" t="s">
        <v>13</v>
      </c>
      <c r="I1" s="29" t="s">
        <v>13</v>
      </c>
      <c r="J1" s="29" t="s">
        <v>13</v>
      </c>
      <c r="K1" s="29" t="s">
        <v>13</v>
      </c>
      <c r="L1" s="29" t="s">
        <v>13</v>
      </c>
      <c r="M1" s="29" t="s">
        <v>13</v>
      </c>
      <c r="N1" s="29" t="s">
        <v>13</v>
      </c>
      <c r="O1" s="29" t="s">
        <v>13</v>
      </c>
      <c r="P1" s="29" t="s">
        <v>13</v>
      </c>
      <c r="Q1" s="29" t="s">
        <v>13</v>
      </c>
      <c r="R1" s="29" t="s">
        <v>13</v>
      </c>
      <c r="S1" s="29" t="s">
        <v>13</v>
      </c>
      <c r="T1" s="29" t="s">
        <v>13</v>
      </c>
      <c r="U1" s="29" t="s">
        <v>13</v>
      </c>
      <c r="V1" s="29" t="s">
        <v>13</v>
      </c>
      <c r="W1" s="29" t="s">
        <v>13</v>
      </c>
      <c r="X1" s="29" t="s">
        <v>13</v>
      </c>
      <c r="Y1" s="29" t="s">
        <v>13</v>
      </c>
      <c r="Z1" s="29" t="s">
        <v>13</v>
      </c>
    </row>
    <row r="2">
      <c r="A2" s="8">
        <v>45986.0</v>
      </c>
      <c r="B2" s="6">
        <v>87342.0</v>
      </c>
      <c r="C2" s="9">
        <f t="shared" ref="C2:C20" si="1">WEEKNUM(A2)</f>
        <v>48</v>
      </c>
      <c r="D2" s="59">
        <v>88270.0</v>
      </c>
      <c r="E2" s="59">
        <v>6.4837343545E10</v>
      </c>
      <c r="F2" s="6">
        <v>87342.0</v>
      </c>
    </row>
    <row r="3">
      <c r="A3" s="10">
        <v>45985.0</v>
      </c>
      <c r="B3" s="6">
        <v>88271.0</v>
      </c>
      <c r="C3" s="9">
        <f t="shared" si="1"/>
        <v>48</v>
      </c>
      <c r="D3" s="59">
        <v>86799.0</v>
      </c>
      <c r="E3" s="59">
        <v>7.443389611E10</v>
      </c>
      <c r="F3" s="6">
        <v>88271.0</v>
      </c>
    </row>
    <row r="4">
      <c r="A4" s="11">
        <v>45984.0</v>
      </c>
      <c r="B4" s="12">
        <v>88859.0</v>
      </c>
      <c r="C4" s="9">
        <f t="shared" si="1"/>
        <v>48</v>
      </c>
      <c r="D4" s="59">
        <v>84649.0</v>
      </c>
      <c r="E4" s="59">
        <v>5.8083435576E10</v>
      </c>
      <c r="F4" s="12">
        <v>88859.0</v>
      </c>
    </row>
    <row r="5">
      <c r="A5" s="13">
        <v>45983.0</v>
      </c>
      <c r="B5" s="14">
        <v>84648.0</v>
      </c>
      <c r="C5" s="9">
        <f t="shared" si="1"/>
        <v>47</v>
      </c>
      <c r="D5" s="59">
        <v>85099.0</v>
      </c>
      <c r="E5" s="59">
        <v>4.0793099246E10</v>
      </c>
      <c r="F5" s="14">
        <v>84648.0</v>
      </c>
    </row>
    <row r="6">
      <c r="A6" s="13">
        <v>45982.0</v>
      </c>
      <c r="B6" s="14">
        <v>85091.0</v>
      </c>
      <c r="C6" s="9">
        <f t="shared" si="1"/>
        <v>47</v>
      </c>
      <c r="D6" s="59">
        <v>86529.0</v>
      </c>
      <c r="E6" s="59">
        <v>1.29157506112E11</v>
      </c>
      <c r="F6" s="14">
        <v>85091.0</v>
      </c>
    </row>
    <row r="7">
      <c r="A7" s="13">
        <v>45981.0</v>
      </c>
      <c r="B7" s="14">
        <v>86631.0</v>
      </c>
      <c r="C7" s="9">
        <f t="shared" si="1"/>
        <v>47</v>
      </c>
      <c r="D7" s="59">
        <v>91459.0</v>
      </c>
      <c r="E7" s="59">
        <v>9.7970645638E10</v>
      </c>
      <c r="F7" s="14">
        <v>86631.0</v>
      </c>
    </row>
    <row r="8">
      <c r="A8" s="13">
        <v>45980.0</v>
      </c>
      <c r="B8" s="21">
        <v>91466.0</v>
      </c>
      <c r="C8" s="9">
        <f t="shared" si="1"/>
        <v>47</v>
      </c>
      <c r="D8" s="59">
        <v>92946.0</v>
      </c>
      <c r="E8" s="59">
        <v>8.0350354656E10</v>
      </c>
      <c r="F8" s="21">
        <v>91466.0</v>
      </c>
    </row>
    <row r="9">
      <c r="A9" s="13">
        <v>45979.0</v>
      </c>
      <c r="B9" s="21">
        <v>92949.0</v>
      </c>
      <c r="C9" s="9">
        <f t="shared" si="1"/>
        <v>47</v>
      </c>
      <c r="D9" s="59">
        <v>92095.0</v>
      </c>
      <c r="E9" s="59">
        <v>1.01333569062E11</v>
      </c>
      <c r="F9" s="21">
        <v>92949.0</v>
      </c>
    </row>
    <row r="10">
      <c r="A10" s="13">
        <v>45978.0</v>
      </c>
      <c r="B10" s="14">
        <v>92094.0</v>
      </c>
      <c r="C10" s="9">
        <f t="shared" si="1"/>
        <v>47</v>
      </c>
      <c r="D10" s="59">
        <v>94181.0</v>
      </c>
      <c r="E10" s="59">
        <v>9.4186165724E10</v>
      </c>
      <c r="F10" s="14">
        <v>92094.0</v>
      </c>
    </row>
    <row r="11">
      <c r="A11" s="13">
        <v>45977.0</v>
      </c>
      <c r="B11" s="23">
        <v>94177.0</v>
      </c>
      <c r="C11" s="9">
        <f t="shared" si="1"/>
        <v>47</v>
      </c>
      <c r="D11" s="59">
        <v>95557.0</v>
      </c>
      <c r="E11" s="59">
        <v>7.1086235862E10</v>
      </c>
      <c r="F11" s="23">
        <v>94177.0</v>
      </c>
    </row>
    <row r="12">
      <c r="A12" s="13">
        <v>45976.0</v>
      </c>
      <c r="B12" s="23">
        <v>95549.0</v>
      </c>
      <c r="C12" s="9">
        <f t="shared" si="1"/>
        <v>46</v>
      </c>
      <c r="D12" s="59">
        <v>94420.0</v>
      </c>
      <c r="E12" s="59">
        <v>3.8500716654E10</v>
      </c>
      <c r="F12" s="23">
        <v>95549.0</v>
      </c>
    </row>
    <row r="13">
      <c r="A13" s="13">
        <v>45975.0</v>
      </c>
      <c r="B13" s="23">
        <v>94398.0</v>
      </c>
      <c r="C13" s="9">
        <f t="shared" si="1"/>
        <v>46</v>
      </c>
      <c r="D13" s="59">
        <v>99695.0</v>
      </c>
      <c r="E13" s="59">
        <v>1.1434644189E11</v>
      </c>
      <c r="F13" s="23">
        <v>94398.0</v>
      </c>
    </row>
    <row r="14">
      <c r="A14" s="13">
        <v>45974.0</v>
      </c>
      <c r="B14" s="23">
        <v>99697.0</v>
      </c>
      <c r="C14" s="9">
        <f t="shared" si="1"/>
        <v>46</v>
      </c>
      <c r="D14" s="59">
        <v>101674.0</v>
      </c>
      <c r="E14" s="59">
        <v>1.01546815416E11</v>
      </c>
      <c r="F14" s="23">
        <v>99697.0</v>
      </c>
    </row>
    <row r="15">
      <c r="A15" s="13">
        <v>45973.0</v>
      </c>
      <c r="B15" s="23">
        <v>101663.0</v>
      </c>
      <c r="C15" s="9">
        <f t="shared" si="1"/>
        <v>46</v>
      </c>
      <c r="D15" s="59">
        <v>103011.0</v>
      </c>
      <c r="E15" s="59">
        <v>6.4347179408E10</v>
      </c>
      <c r="F15" s="23">
        <v>101663.0</v>
      </c>
    </row>
    <row r="16">
      <c r="A16" s="13">
        <v>45972.0</v>
      </c>
      <c r="B16" s="23">
        <v>102997.0</v>
      </c>
      <c r="C16" s="9">
        <f t="shared" si="1"/>
        <v>46</v>
      </c>
      <c r="D16" s="59">
        <v>105997.0</v>
      </c>
      <c r="E16" s="59">
        <v>7.1130078574E10</v>
      </c>
      <c r="F16" s="23">
        <v>102997.0</v>
      </c>
    </row>
    <row r="17">
      <c r="A17" s="13">
        <v>45971.0</v>
      </c>
      <c r="B17" s="23">
        <v>105997.0</v>
      </c>
      <c r="C17" s="9">
        <f t="shared" si="1"/>
        <v>46</v>
      </c>
      <c r="D17" s="59">
        <v>104724.0</v>
      </c>
      <c r="E17" s="59">
        <v>6.9585887229E10</v>
      </c>
      <c r="F17" s="23">
        <v>105997.0</v>
      </c>
    </row>
    <row r="18">
      <c r="A18" s="24">
        <v>45970.0</v>
      </c>
      <c r="B18" s="23">
        <v>104720.0</v>
      </c>
      <c r="C18" s="9">
        <f t="shared" si="1"/>
        <v>46</v>
      </c>
      <c r="D18" s="59">
        <v>102279.0</v>
      </c>
      <c r="E18" s="59">
        <v>5.9679243013E10</v>
      </c>
      <c r="F18" s="23">
        <v>104720.0</v>
      </c>
    </row>
    <row r="19">
      <c r="A19" s="24">
        <v>45969.0</v>
      </c>
      <c r="B19" s="23">
        <v>102282.0</v>
      </c>
      <c r="C19" s="9">
        <f t="shared" si="1"/>
        <v>45</v>
      </c>
      <c r="D19" s="59">
        <v>103372.0</v>
      </c>
      <c r="E19" s="59">
        <v>5.1446691095E10</v>
      </c>
      <c r="F19" s="23">
        <v>102282.0</v>
      </c>
    </row>
    <row r="20">
      <c r="A20" s="24">
        <v>45968.0</v>
      </c>
      <c r="B20" s="23">
        <v>103372.0</v>
      </c>
      <c r="C20" s="9">
        <f t="shared" si="1"/>
        <v>45</v>
      </c>
      <c r="D20" s="59">
        <v>101286.0</v>
      </c>
      <c r="E20" s="59">
        <v>9.2168030081E10</v>
      </c>
      <c r="F20" s="23">
        <v>103372.0</v>
      </c>
    </row>
    <row r="21">
      <c r="A21" s="25"/>
      <c r="B21" s="26"/>
      <c r="C21" s="9"/>
      <c r="D21" s="59"/>
      <c r="E21" s="60"/>
      <c r="F21" s="26"/>
    </row>
    <row r="22">
      <c r="A22" s="27"/>
      <c r="B22" s="26"/>
      <c r="C22" s="9"/>
      <c r="D22" s="60"/>
      <c r="E22" s="60"/>
      <c r="F22" s="26"/>
    </row>
    <row r="23">
      <c r="A23" s="27"/>
      <c r="B23" s="28"/>
      <c r="C23" s="9"/>
      <c r="D23" s="60"/>
      <c r="E23" s="60"/>
      <c r="F23" s="28"/>
    </row>
    <row r="24">
      <c r="A24" s="27"/>
      <c r="B24" s="28"/>
      <c r="C24" s="9"/>
      <c r="D24" s="60"/>
      <c r="E24" s="60"/>
      <c r="F24" s="28"/>
    </row>
    <row r="25">
      <c r="A25" s="27"/>
      <c r="B25" s="28"/>
      <c r="C25" s="9"/>
      <c r="D25" s="60"/>
      <c r="E25" s="60"/>
      <c r="F25" s="28"/>
    </row>
    <row r="26">
      <c r="A26" s="27"/>
      <c r="B26" s="28"/>
      <c r="C26" s="9"/>
      <c r="D26" s="60"/>
      <c r="E26" s="60"/>
      <c r="F26" s="28"/>
    </row>
    <row r="27">
      <c r="A27" s="27"/>
      <c r="B27" s="28"/>
      <c r="C27" s="9"/>
      <c r="D27" s="60"/>
      <c r="E27" s="60"/>
      <c r="F27" s="28"/>
    </row>
    <row r="28">
      <c r="A28" s="27"/>
      <c r="B28" s="28"/>
      <c r="C28" s="9"/>
      <c r="D28" s="60"/>
      <c r="E28" s="60"/>
      <c r="F28" s="28"/>
    </row>
    <row r="29">
      <c r="A29" s="27"/>
      <c r="B29" s="28"/>
      <c r="C29" s="9"/>
      <c r="D29" s="60"/>
      <c r="E29" s="60"/>
      <c r="F29" s="28"/>
    </row>
    <row r="30">
      <c r="A30" s="27"/>
      <c r="B30" s="28"/>
      <c r="C30" s="9"/>
      <c r="D30" s="60"/>
      <c r="E30" s="60"/>
      <c r="F30" s="28"/>
    </row>
    <row r="31">
      <c r="A31" s="27"/>
      <c r="B31" s="28"/>
      <c r="C31" s="9"/>
      <c r="D31" s="60"/>
      <c r="E31" s="60"/>
      <c r="F31" s="28"/>
    </row>
    <row r="32">
      <c r="A32" s="27"/>
      <c r="B32" s="28"/>
      <c r="C32" s="9"/>
      <c r="D32" s="60"/>
      <c r="E32" s="60"/>
      <c r="F32" s="28"/>
    </row>
    <row r="33">
      <c r="A33" s="27"/>
      <c r="B33" s="28"/>
      <c r="C33" s="9"/>
      <c r="D33" s="60"/>
      <c r="E33" s="60"/>
      <c r="F33" s="28"/>
    </row>
    <row r="34">
      <c r="A34" s="27"/>
      <c r="B34" s="28"/>
      <c r="C34" s="9"/>
      <c r="D34" s="60"/>
      <c r="E34" s="60"/>
      <c r="F34" s="28"/>
    </row>
    <row r="35">
      <c r="A35" s="27"/>
      <c r="B35" s="28"/>
      <c r="C35" s="9"/>
      <c r="D35" s="60"/>
      <c r="E35" s="60"/>
      <c r="F35" s="28"/>
    </row>
    <row r="36">
      <c r="A36" s="27"/>
      <c r="B36" s="28"/>
      <c r="C36" s="9"/>
      <c r="D36" s="60"/>
      <c r="E36" s="60"/>
      <c r="F36" s="28"/>
    </row>
    <row r="37">
      <c r="A37" s="27"/>
      <c r="B37" s="28"/>
      <c r="C37" s="9"/>
      <c r="D37" s="60"/>
      <c r="E37" s="60"/>
      <c r="F37" s="28"/>
    </row>
    <row r="38">
      <c r="A38" s="27"/>
      <c r="B38" s="28"/>
      <c r="C38" s="9"/>
      <c r="D38" s="60"/>
      <c r="E38" s="60"/>
      <c r="F38" s="28"/>
    </row>
    <row r="39">
      <c r="A39" s="27"/>
      <c r="B39" s="28"/>
      <c r="C39" s="9"/>
      <c r="D39" s="60"/>
      <c r="E39" s="60"/>
      <c r="F39" s="28"/>
    </row>
    <row r="40">
      <c r="A40" s="27"/>
      <c r="B40" s="28"/>
      <c r="C40" s="9"/>
      <c r="D40" s="60"/>
      <c r="E40" s="60"/>
      <c r="F40" s="28"/>
    </row>
    <row r="41">
      <c r="A41" s="27"/>
      <c r="B41" s="28"/>
      <c r="C41" s="9"/>
      <c r="D41" s="60"/>
      <c r="E41" s="60"/>
      <c r="F41" s="28"/>
    </row>
    <row r="42">
      <c r="A42" s="27"/>
      <c r="B42" s="28"/>
      <c r="C42" s="9"/>
      <c r="D42" s="60"/>
      <c r="E42" s="60"/>
      <c r="F42" s="28"/>
    </row>
    <row r="43">
      <c r="A43" s="27"/>
      <c r="B43" s="28"/>
      <c r="C43" s="9"/>
      <c r="D43" s="60"/>
      <c r="E43" s="60"/>
      <c r="F43" s="28"/>
    </row>
    <row r="44">
      <c r="A44" s="27"/>
      <c r="B44" s="28"/>
      <c r="C44" s="9"/>
      <c r="D44" s="60"/>
      <c r="E44" s="60"/>
      <c r="F44" s="28"/>
    </row>
    <row r="45">
      <c r="A45" s="27"/>
      <c r="B45" s="28"/>
      <c r="C45" s="9"/>
      <c r="D45" s="60"/>
      <c r="E45" s="60"/>
      <c r="F45" s="28"/>
    </row>
    <row r="46">
      <c r="A46" s="27"/>
      <c r="B46" s="28"/>
      <c r="C46" s="9"/>
      <c r="D46" s="60"/>
      <c r="E46" s="60"/>
      <c r="F46" s="28"/>
    </row>
    <row r="47">
      <c r="A47" s="27"/>
      <c r="B47" s="28"/>
      <c r="C47" s="9"/>
      <c r="D47" s="60"/>
      <c r="E47" s="60"/>
      <c r="F47" s="28"/>
    </row>
    <row r="48">
      <c r="A48" s="27"/>
      <c r="B48" s="28"/>
      <c r="C48" s="9"/>
      <c r="D48" s="60"/>
      <c r="E48" s="60"/>
      <c r="F48" s="28"/>
    </row>
    <row r="49">
      <c r="A49" s="27"/>
      <c r="B49" s="28"/>
      <c r="C49" s="9"/>
      <c r="D49" s="60"/>
      <c r="E49" s="60"/>
      <c r="F49" s="28"/>
    </row>
    <row r="50">
      <c r="A50" s="27"/>
      <c r="B50" s="28"/>
      <c r="C50" s="9"/>
      <c r="D50" s="60"/>
      <c r="E50" s="60"/>
      <c r="F50" s="28"/>
    </row>
    <row r="51">
      <c r="A51" s="27"/>
      <c r="B51" s="28"/>
      <c r="C51" s="9"/>
      <c r="D51" s="60"/>
      <c r="E51" s="60"/>
      <c r="F51" s="28"/>
    </row>
    <row r="52">
      <c r="A52" s="27"/>
      <c r="B52" s="28"/>
      <c r="C52" s="9"/>
      <c r="D52" s="60"/>
      <c r="E52" s="60"/>
      <c r="F52" s="28"/>
    </row>
    <row r="53">
      <c r="A53" s="27"/>
      <c r="B53" s="28"/>
      <c r="C53" s="9"/>
      <c r="D53" s="60"/>
      <c r="E53" s="60"/>
      <c r="F53" s="28"/>
    </row>
    <row r="54">
      <c r="A54" s="27"/>
      <c r="B54" s="28"/>
      <c r="C54" s="9"/>
      <c r="D54" s="60"/>
      <c r="E54" s="60"/>
      <c r="F54" s="28"/>
    </row>
    <row r="55">
      <c r="A55" s="27"/>
      <c r="B55" s="28"/>
      <c r="C55" s="9"/>
      <c r="D55" s="60"/>
      <c r="E55" s="60"/>
      <c r="F55" s="28"/>
    </row>
    <row r="56">
      <c r="A56" s="27"/>
      <c r="B56" s="28"/>
      <c r="C56" s="9"/>
      <c r="D56" s="60"/>
      <c r="E56" s="60"/>
      <c r="F56" s="28"/>
    </row>
    <row r="57">
      <c r="A57" s="27"/>
      <c r="B57" s="28"/>
      <c r="C57" s="9"/>
      <c r="D57" s="60"/>
      <c r="E57" s="60"/>
      <c r="F57" s="28"/>
    </row>
    <row r="58">
      <c r="A58" s="27"/>
      <c r="B58" s="28"/>
      <c r="C58" s="9"/>
      <c r="D58" s="60"/>
      <c r="E58" s="60"/>
      <c r="F58" s="28"/>
    </row>
    <row r="59">
      <c r="A59" s="27"/>
      <c r="B59" s="28"/>
      <c r="C59" s="9"/>
      <c r="D59" s="60"/>
      <c r="E59" s="60"/>
      <c r="F59" s="28"/>
    </row>
    <row r="60">
      <c r="A60" s="27"/>
      <c r="B60" s="28"/>
      <c r="C60" s="9"/>
      <c r="D60" s="60"/>
      <c r="E60" s="60"/>
      <c r="F60" s="28"/>
    </row>
    <row r="61">
      <c r="A61" s="27"/>
      <c r="B61" s="28"/>
      <c r="C61" s="9"/>
      <c r="D61" s="60"/>
      <c r="E61" s="60"/>
      <c r="F61" s="28"/>
    </row>
    <row r="62">
      <c r="A62" s="27"/>
      <c r="B62" s="28"/>
      <c r="C62" s="9"/>
      <c r="D62" s="60"/>
      <c r="E62" s="60"/>
      <c r="F62" s="28"/>
    </row>
    <row r="63">
      <c r="A63" s="27"/>
      <c r="B63" s="28"/>
      <c r="C63" s="9"/>
      <c r="D63" s="60"/>
      <c r="E63" s="60"/>
      <c r="F63" s="28"/>
    </row>
    <row r="64">
      <c r="A64" s="27"/>
      <c r="B64" s="28"/>
      <c r="C64" s="9"/>
      <c r="D64" s="60"/>
      <c r="E64" s="60"/>
      <c r="F64" s="28"/>
    </row>
    <row r="65">
      <c r="A65" s="27"/>
      <c r="B65" s="28"/>
      <c r="C65" s="9"/>
      <c r="D65" s="60"/>
      <c r="E65" s="60"/>
      <c r="F65" s="28"/>
    </row>
    <row r="66">
      <c r="A66" s="27"/>
      <c r="B66" s="28"/>
      <c r="C66" s="9"/>
      <c r="D66" s="60"/>
      <c r="E66" s="60"/>
      <c r="F66" s="28"/>
    </row>
    <row r="67">
      <c r="A67" s="27"/>
      <c r="B67" s="28"/>
      <c r="C67" s="9"/>
      <c r="D67" s="60"/>
      <c r="E67" s="60"/>
      <c r="F67" s="28"/>
    </row>
    <row r="68">
      <c r="A68" s="27"/>
      <c r="B68" s="28"/>
      <c r="C68" s="9"/>
      <c r="D68" s="60"/>
      <c r="E68" s="60"/>
      <c r="F68" s="28"/>
    </row>
    <row r="69">
      <c r="A69" s="27"/>
      <c r="B69" s="28"/>
      <c r="C69" s="9"/>
      <c r="D69" s="60"/>
      <c r="E69" s="60"/>
      <c r="F69" s="28"/>
    </row>
    <row r="70">
      <c r="A70" s="27"/>
      <c r="B70" s="28"/>
      <c r="C70" s="9"/>
      <c r="D70" s="60"/>
      <c r="E70" s="60"/>
      <c r="F70" s="28"/>
    </row>
    <row r="71">
      <c r="A71" s="27"/>
      <c r="B71" s="28"/>
      <c r="C71" s="9"/>
      <c r="D71" s="60"/>
      <c r="E71" s="60"/>
      <c r="F71" s="28"/>
    </row>
    <row r="72">
      <c r="A72" s="27"/>
      <c r="B72" s="28"/>
      <c r="C72" s="9"/>
      <c r="D72" s="60"/>
      <c r="E72" s="60"/>
      <c r="F72" s="28"/>
    </row>
    <row r="73">
      <c r="A73" s="27"/>
      <c r="B73" s="28"/>
      <c r="C73" s="9"/>
      <c r="D73" s="60"/>
      <c r="E73" s="60"/>
      <c r="F73" s="28"/>
    </row>
    <row r="74">
      <c r="A74" s="27"/>
      <c r="B74" s="28"/>
      <c r="C74" s="9"/>
      <c r="D74" s="60"/>
      <c r="E74" s="60"/>
      <c r="F74" s="28"/>
    </row>
    <row r="75">
      <c r="A75" s="27"/>
      <c r="B75" s="28"/>
      <c r="C75" s="9"/>
      <c r="D75" s="60"/>
      <c r="E75" s="60"/>
      <c r="F75" s="28"/>
    </row>
    <row r="76">
      <c r="A76" s="27"/>
      <c r="B76" s="28"/>
      <c r="C76" s="9"/>
      <c r="D76" s="60"/>
      <c r="E76" s="60"/>
      <c r="F76" s="28"/>
    </row>
    <row r="77">
      <c r="A77" s="27"/>
      <c r="B77" s="28"/>
      <c r="C77" s="9"/>
      <c r="D77" s="60"/>
      <c r="E77" s="60"/>
      <c r="F77" s="28"/>
    </row>
    <row r="78">
      <c r="A78" s="27"/>
      <c r="B78" s="28"/>
      <c r="C78" s="9"/>
      <c r="D78" s="60"/>
      <c r="E78" s="60"/>
      <c r="F78" s="28"/>
    </row>
    <row r="79">
      <c r="A79" s="27"/>
      <c r="B79" s="28"/>
      <c r="C79" s="9"/>
      <c r="D79" s="60"/>
      <c r="E79" s="60"/>
      <c r="F79" s="28"/>
    </row>
    <row r="80">
      <c r="A80" s="27"/>
      <c r="B80" s="28"/>
      <c r="C80" s="9"/>
      <c r="D80" s="60"/>
      <c r="E80" s="60"/>
      <c r="F80" s="28"/>
    </row>
    <row r="81">
      <c r="A81" s="27"/>
      <c r="B81" s="28"/>
      <c r="C81" s="9"/>
      <c r="D81" s="60"/>
      <c r="E81" s="60"/>
      <c r="F81" s="28"/>
    </row>
    <row r="82">
      <c r="A82" s="27"/>
      <c r="B82" s="28"/>
      <c r="C82" s="9"/>
      <c r="D82" s="60"/>
      <c r="E82" s="60"/>
      <c r="F82" s="28"/>
    </row>
    <row r="83">
      <c r="A83" s="27"/>
      <c r="B83" s="28"/>
      <c r="C83" s="9"/>
      <c r="D83" s="60"/>
      <c r="E83" s="60"/>
      <c r="F83" s="28"/>
    </row>
    <row r="84">
      <c r="A84" s="27"/>
      <c r="B84" s="28"/>
      <c r="C84" s="9"/>
      <c r="D84" s="60"/>
      <c r="E84" s="60"/>
      <c r="F84" s="28"/>
    </row>
    <row r="85">
      <c r="A85" s="27"/>
      <c r="B85" s="28"/>
      <c r="C85" s="9"/>
      <c r="D85" s="60"/>
      <c r="E85" s="60"/>
      <c r="F85" s="28"/>
    </row>
    <row r="86">
      <c r="A86" s="27"/>
      <c r="B86" s="28"/>
      <c r="C86" s="9"/>
      <c r="D86" s="60"/>
      <c r="E86" s="60"/>
      <c r="F86" s="28"/>
    </row>
    <row r="87">
      <c r="A87" s="27"/>
      <c r="B87" s="28"/>
      <c r="C87" s="9"/>
      <c r="D87" s="60"/>
      <c r="E87" s="60"/>
      <c r="F87" s="28"/>
    </row>
    <row r="88">
      <c r="A88" s="27"/>
      <c r="B88" s="28"/>
      <c r="C88" s="9"/>
      <c r="D88" s="60"/>
      <c r="E88" s="60"/>
      <c r="F88" s="28"/>
    </row>
    <row r="89">
      <c r="A89" s="27"/>
      <c r="B89" s="28"/>
      <c r="C89" s="9"/>
      <c r="D89" s="60"/>
      <c r="E89" s="60"/>
      <c r="F89" s="28"/>
    </row>
    <row r="90">
      <c r="A90" s="27"/>
      <c r="B90" s="28"/>
      <c r="C90" s="9"/>
      <c r="D90" s="60"/>
      <c r="E90" s="60"/>
      <c r="F90" s="28"/>
    </row>
    <row r="91">
      <c r="A91" s="27"/>
      <c r="B91" s="28"/>
      <c r="C91" s="9"/>
      <c r="D91" s="60"/>
      <c r="E91" s="60"/>
      <c r="F91" s="28"/>
    </row>
    <row r="92">
      <c r="A92" s="27"/>
      <c r="B92" s="28"/>
      <c r="C92" s="9"/>
      <c r="D92" s="60"/>
      <c r="E92" s="60"/>
      <c r="F92" s="28"/>
    </row>
    <row r="93">
      <c r="A93" s="27"/>
      <c r="B93" s="28"/>
      <c r="C93" s="9"/>
      <c r="D93" s="60"/>
      <c r="E93" s="60"/>
      <c r="F93" s="28"/>
    </row>
    <row r="94">
      <c r="A94" s="27"/>
      <c r="B94" s="28"/>
      <c r="C94" s="9"/>
      <c r="D94" s="60"/>
      <c r="E94" s="60"/>
      <c r="F94" s="28"/>
    </row>
    <row r="95">
      <c r="A95" s="27"/>
      <c r="B95" s="28"/>
      <c r="C95" s="9"/>
      <c r="D95" s="60"/>
      <c r="E95" s="60"/>
      <c r="F95" s="28"/>
    </row>
    <row r="96">
      <c r="A96" s="27"/>
      <c r="B96" s="28"/>
      <c r="C96" s="9"/>
      <c r="D96" s="60"/>
      <c r="E96" s="60"/>
      <c r="F96" s="28"/>
    </row>
    <row r="97">
      <c r="A97" s="27"/>
      <c r="B97" s="28"/>
      <c r="C97" s="9"/>
      <c r="D97" s="60"/>
      <c r="E97" s="60"/>
      <c r="F97" s="28"/>
    </row>
    <row r="98">
      <c r="A98" s="27"/>
      <c r="B98" s="28"/>
      <c r="C98" s="9"/>
      <c r="D98" s="60"/>
      <c r="E98" s="60"/>
      <c r="F98" s="28"/>
    </row>
    <row r="99">
      <c r="A99" s="27"/>
      <c r="B99" s="28"/>
      <c r="C99" s="9"/>
      <c r="D99" s="60"/>
      <c r="E99" s="60"/>
      <c r="F99" s="28"/>
    </row>
    <row r="100">
      <c r="A100" s="27"/>
      <c r="B100" s="28"/>
      <c r="C100" s="9"/>
      <c r="D100" s="60"/>
      <c r="E100" s="60"/>
      <c r="F100" s="28"/>
    </row>
    <row r="101">
      <c r="A101" s="27"/>
      <c r="B101" s="28"/>
      <c r="C101" s="9"/>
      <c r="D101" s="60"/>
      <c r="E101" s="60"/>
      <c r="F101" s="28"/>
    </row>
    <row r="102">
      <c r="A102" s="27"/>
      <c r="B102" s="28"/>
      <c r="C102" s="9"/>
      <c r="D102" s="60"/>
      <c r="E102" s="60"/>
      <c r="F102" s="28"/>
    </row>
    <row r="103">
      <c r="A103" s="27"/>
      <c r="B103" s="28"/>
      <c r="C103" s="9"/>
      <c r="D103" s="60"/>
      <c r="E103" s="60"/>
      <c r="F103" s="28"/>
    </row>
    <row r="104">
      <c r="A104" s="27"/>
      <c r="B104" s="28"/>
      <c r="C104" s="9"/>
      <c r="D104" s="60"/>
      <c r="E104" s="60"/>
      <c r="F104" s="28"/>
    </row>
    <row r="105">
      <c r="A105" s="27"/>
      <c r="B105" s="28"/>
      <c r="C105" s="9"/>
      <c r="D105" s="60"/>
      <c r="E105" s="60"/>
      <c r="F105" s="28"/>
    </row>
    <row r="106">
      <c r="A106" s="27"/>
      <c r="B106" s="28"/>
      <c r="C106" s="9"/>
      <c r="D106" s="60"/>
      <c r="E106" s="60"/>
      <c r="F106" s="28"/>
    </row>
    <row r="107">
      <c r="A107" s="27"/>
      <c r="B107" s="28"/>
      <c r="C107" s="9"/>
      <c r="D107" s="60"/>
      <c r="E107" s="60"/>
      <c r="F107" s="28"/>
    </row>
    <row r="108">
      <c r="A108" s="27"/>
      <c r="B108" s="28"/>
      <c r="C108" s="9"/>
      <c r="D108" s="60"/>
      <c r="E108" s="60"/>
      <c r="F108" s="28"/>
    </row>
    <row r="109">
      <c r="A109" s="27"/>
      <c r="B109" s="28"/>
      <c r="C109" s="9"/>
      <c r="D109" s="60"/>
      <c r="E109" s="60"/>
      <c r="F109" s="28"/>
    </row>
    <row r="110">
      <c r="A110" s="27"/>
      <c r="B110" s="28"/>
      <c r="C110" s="9"/>
      <c r="D110" s="60"/>
      <c r="E110" s="60"/>
      <c r="F110" s="28"/>
    </row>
    <row r="111">
      <c r="A111" s="27"/>
      <c r="B111" s="28"/>
      <c r="C111" s="9"/>
      <c r="D111" s="60"/>
      <c r="E111" s="60"/>
      <c r="F111" s="28"/>
    </row>
    <row r="112">
      <c r="A112" s="27"/>
      <c r="B112" s="28"/>
      <c r="C112" s="9"/>
      <c r="D112" s="60"/>
      <c r="E112" s="60"/>
      <c r="F112" s="28"/>
    </row>
    <row r="113">
      <c r="A113" s="27"/>
      <c r="B113" s="28"/>
      <c r="C113" s="9"/>
      <c r="D113" s="60"/>
      <c r="E113" s="60"/>
      <c r="F113" s="28"/>
    </row>
    <row r="114">
      <c r="A114" s="27"/>
      <c r="B114" s="28"/>
      <c r="C114" s="9"/>
      <c r="D114" s="60"/>
      <c r="E114" s="60"/>
      <c r="F114" s="28"/>
    </row>
    <row r="115">
      <c r="A115" s="27"/>
      <c r="B115" s="28"/>
      <c r="C115" s="9"/>
      <c r="D115" s="60"/>
      <c r="E115" s="60"/>
      <c r="F115" s="28"/>
    </row>
    <row r="116">
      <c r="A116" s="27"/>
      <c r="B116" s="28"/>
      <c r="C116" s="9"/>
      <c r="D116" s="60"/>
      <c r="E116" s="60"/>
      <c r="F116" s="28"/>
    </row>
    <row r="117">
      <c r="A117" s="27"/>
      <c r="B117" s="28"/>
      <c r="C117" s="9"/>
      <c r="D117" s="60"/>
      <c r="E117" s="60"/>
      <c r="F117" s="28"/>
    </row>
    <row r="118">
      <c r="A118" s="27"/>
      <c r="B118" s="28"/>
      <c r="C118" s="9"/>
      <c r="D118" s="60"/>
      <c r="E118" s="60"/>
      <c r="F118" s="28"/>
    </row>
    <row r="119">
      <c r="A119" s="27"/>
      <c r="B119" s="28"/>
      <c r="C119" s="9"/>
      <c r="D119" s="60"/>
      <c r="E119" s="60"/>
      <c r="F119" s="28"/>
    </row>
    <row r="120">
      <c r="A120" s="27"/>
      <c r="B120" s="28"/>
      <c r="C120" s="9"/>
      <c r="D120" s="60"/>
      <c r="E120" s="60"/>
      <c r="F120" s="28"/>
    </row>
    <row r="121">
      <c r="A121" s="27"/>
      <c r="B121" s="28"/>
      <c r="C121" s="9"/>
      <c r="D121" s="60"/>
      <c r="E121" s="60"/>
      <c r="F121" s="28"/>
    </row>
    <row r="122">
      <c r="A122" s="27"/>
      <c r="B122" s="28"/>
      <c r="C122" s="9"/>
      <c r="D122" s="60"/>
      <c r="E122" s="60"/>
      <c r="F122" s="28"/>
    </row>
    <row r="123">
      <c r="A123" s="27"/>
      <c r="B123" s="28"/>
      <c r="C123" s="9"/>
      <c r="D123" s="60"/>
      <c r="E123" s="60"/>
      <c r="F123" s="28"/>
    </row>
    <row r="124">
      <c r="A124" s="27"/>
      <c r="B124" s="28"/>
      <c r="C124" s="9"/>
      <c r="D124" s="60"/>
      <c r="E124" s="60"/>
      <c r="F124" s="28"/>
    </row>
    <row r="125">
      <c r="A125" s="27"/>
      <c r="B125" s="28"/>
      <c r="C125" s="9"/>
      <c r="D125" s="60"/>
      <c r="E125" s="60"/>
      <c r="F125" s="28"/>
    </row>
    <row r="126">
      <c r="A126" s="27"/>
      <c r="B126" s="28"/>
      <c r="C126" s="9"/>
      <c r="D126" s="60"/>
      <c r="E126" s="60"/>
      <c r="F126" s="28"/>
    </row>
    <row r="127">
      <c r="A127" s="27"/>
      <c r="B127" s="28"/>
      <c r="C127" s="9"/>
      <c r="D127" s="60"/>
      <c r="E127" s="60"/>
      <c r="F127" s="28"/>
    </row>
    <row r="128">
      <c r="A128" s="27"/>
      <c r="B128" s="28"/>
      <c r="C128" s="9"/>
      <c r="D128" s="60"/>
      <c r="E128" s="60"/>
      <c r="F128" s="28"/>
    </row>
    <row r="129">
      <c r="A129" s="27"/>
      <c r="B129" s="28"/>
      <c r="C129" s="9"/>
      <c r="D129" s="60"/>
      <c r="E129" s="60"/>
      <c r="F129" s="28"/>
    </row>
    <row r="130">
      <c r="A130" s="27"/>
      <c r="B130" s="28"/>
      <c r="C130" s="9"/>
      <c r="D130" s="60"/>
      <c r="E130" s="60"/>
      <c r="F130" s="28"/>
    </row>
    <row r="131">
      <c r="A131" s="27"/>
      <c r="B131" s="28"/>
      <c r="C131" s="9"/>
      <c r="D131" s="60"/>
      <c r="E131" s="60"/>
      <c r="F131" s="28"/>
    </row>
    <row r="132">
      <c r="A132" s="27"/>
      <c r="B132" s="28"/>
      <c r="C132" s="9"/>
      <c r="D132" s="60"/>
      <c r="E132" s="60"/>
      <c r="F132" s="28"/>
    </row>
    <row r="133">
      <c r="A133" s="27"/>
      <c r="B133" s="28"/>
      <c r="C133" s="9"/>
      <c r="D133" s="60"/>
      <c r="E133" s="60"/>
      <c r="F133" s="28"/>
    </row>
    <row r="134">
      <c r="A134" s="27"/>
      <c r="B134" s="28"/>
      <c r="C134" s="9"/>
      <c r="D134" s="60"/>
      <c r="E134" s="60"/>
      <c r="F134" s="28"/>
    </row>
    <row r="135">
      <c r="A135" s="27"/>
      <c r="B135" s="28"/>
      <c r="C135" s="9"/>
      <c r="D135" s="60"/>
      <c r="E135" s="60"/>
      <c r="F135" s="28"/>
    </row>
    <row r="136">
      <c r="A136" s="27"/>
      <c r="B136" s="28"/>
      <c r="C136" s="9"/>
      <c r="D136" s="60"/>
      <c r="E136" s="60"/>
      <c r="F136" s="28"/>
    </row>
    <row r="137">
      <c r="A137" s="27"/>
      <c r="B137" s="28"/>
      <c r="C137" s="9"/>
      <c r="D137" s="60"/>
      <c r="E137" s="60"/>
      <c r="F137" s="28"/>
    </row>
    <row r="138">
      <c r="A138" s="27"/>
      <c r="B138" s="28"/>
      <c r="C138" s="9"/>
      <c r="D138" s="60"/>
      <c r="E138" s="60"/>
      <c r="F138" s="28"/>
    </row>
    <row r="139">
      <c r="A139" s="27"/>
      <c r="B139" s="28"/>
      <c r="C139" s="9"/>
      <c r="D139" s="60"/>
      <c r="E139" s="60"/>
      <c r="F139" s="28"/>
    </row>
    <row r="140">
      <c r="A140" s="27"/>
      <c r="B140" s="28"/>
      <c r="C140" s="9"/>
      <c r="D140" s="60"/>
      <c r="E140" s="60"/>
      <c r="F140" s="28"/>
    </row>
    <row r="141">
      <c r="A141" s="27"/>
      <c r="B141" s="28"/>
      <c r="C141" s="9"/>
      <c r="D141" s="60"/>
      <c r="E141" s="60"/>
      <c r="F141" s="28"/>
    </row>
    <row r="142">
      <c r="A142" s="27"/>
      <c r="B142" s="28"/>
      <c r="C142" s="9"/>
      <c r="D142" s="60"/>
      <c r="E142" s="60"/>
      <c r="F142" s="28"/>
    </row>
    <row r="143">
      <c r="A143" s="27"/>
      <c r="B143" s="28"/>
      <c r="C143" s="9"/>
      <c r="D143" s="60"/>
      <c r="E143" s="60"/>
      <c r="F143" s="28"/>
    </row>
    <row r="144">
      <c r="A144" s="27"/>
      <c r="B144" s="28"/>
      <c r="C144" s="9"/>
      <c r="D144" s="60"/>
      <c r="E144" s="60"/>
      <c r="F144" s="28"/>
    </row>
    <row r="145">
      <c r="A145" s="27"/>
      <c r="B145" s="28"/>
      <c r="C145" s="9"/>
      <c r="D145" s="60"/>
      <c r="E145" s="60"/>
      <c r="F145" s="28"/>
    </row>
    <row r="146">
      <c r="A146" s="27"/>
      <c r="B146" s="28"/>
      <c r="C146" s="9"/>
      <c r="D146" s="60"/>
      <c r="E146" s="60"/>
      <c r="F146" s="28"/>
    </row>
    <row r="147">
      <c r="A147" s="27"/>
      <c r="B147" s="28"/>
      <c r="C147" s="9"/>
      <c r="D147" s="60"/>
      <c r="E147" s="60"/>
      <c r="F147" s="28"/>
    </row>
    <row r="148">
      <c r="A148" s="27"/>
      <c r="B148" s="28"/>
      <c r="C148" s="9"/>
      <c r="D148" s="60"/>
      <c r="E148" s="60"/>
      <c r="F148" s="28"/>
    </row>
    <row r="149">
      <c r="A149" s="27"/>
      <c r="B149" s="28"/>
      <c r="C149" s="9"/>
      <c r="D149" s="60"/>
      <c r="E149" s="60"/>
      <c r="F149" s="28"/>
    </row>
    <row r="150">
      <c r="A150" s="27"/>
      <c r="B150" s="28"/>
      <c r="C150" s="9"/>
      <c r="D150" s="60"/>
      <c r="E150" s="60"/>
      <c r="F150" s="28"/>
    </row>
    <row r="151">
      <c r="A151" s="27"/>
      <c r="B151" s="28"/>
      <c r="C151" s="9"/>
      <c r="D151" s="60"/>
      <c r="E151" s="60"/>
      <c r="F151" s="28"/>
    </row>
    <row r="152">
      <c r="A152" s="27"/>
      <c r="B152" s="28"/>
      <c r="C152" s="9"/>
      <c r="D152" s="60"/>
      <c r="E152" s="60"/>
      <c r="F152" s="28"/>
    </row>
    <row r="153">
      <c r="A153" s="27"/>
      <c r="B153" s="28"/>
      <c r="C153" s="9"/>
      <c r="D153" s="60"/>
      <c r="E153" s="60"/>
      <c r="F153" s="28"/>
    </row>
    <row r="154">
      <c r="A154" s="27"/>
      <c r="B154" s="28"/>
      <c r="C154" s="9"/>
      <c r="D154" s="60"/>
      <c r="E154" s="60"/>
      <c r="F154" s="28"/>
    </row>
    <row r="155">
      <c r="A155" s="27"/>
      <c r="B155" s="28"/>
      <c r="C155" s="9"/>
      <c r="D155" s="60"/>
      <c r="E155" s="60"/>
      <c r="F155" s="28"/>
    </row>
    <row r="156">
      <c r="A156" s="27"/>
      <c r="B156" s="28"/>
      <c r="C156" s="9"/>
      <c r="D156" s="60"/>
      <c r="E156" s="60"/>
      <c r="F156" s="28"/>
    </row>
    <row r="157">
      <c r="A157" s="27"/>
      <c r="B157" s="28"/>
      <c r="C157" s="9"/>
      <c r="D157" s="60"/>
      <c r="E157" s="60"/>
      <c r="F157" s="28"/>
    </row>
    <row r="158">
      <c r="A158" s="27"/>
      <c r="B158" s="28"/>
      <c r="C158" s="9"/>
      <c r="D158" s="60"/>
      <c r="E158" s="60"/>
      <c r="F158" s="28"/>
    </row>
    <row r="159">
      <c r="A159" s="27"/>
      <c r="B159" s="28"/>
      <c r="C159" s="9"/>
      <c r="D159" s="60"/>
      <c r="E159" s="60"/>
      <c r="F159" s="28"/>
    </row>
    <row r="160">
      <c r="A160" s="27"/>
      <c r="B160" s="28"/>
      <c r="C160" s="9"/>
      <c r="D160" s="60"/>
      <c r="E160" s="60"/>
      <c r="F160" s="28"/>
    </row>
    <row r="161">
      <c r="A161" s="27"/>
      <c r="B161" s="28"/>
      <c r="C161" s="9"/>
      <c r="D161" s="60"/>
      <c r="E161" s="60"/>
      <c r="F161" s="28"/>
    </row>
    <row r="162">
      <c r="A162" s="27"/>
      <c r="B162" s="28"/>
      <c r="C162" s="9"/>
      <c r="D162" s="60"/>
      <c r="E162" s="60"/>
      <c r="F162" s="28"/>
    </row>
    <row r="163">
      <c r="A163" s="27"/>
      <c r="B163" s="28"/>
      <c r="C163" s="9"/>
      <c r="D163" s="60"/>
      <c r="E163" s="60"/>
      <c r="F163" s="28"/>
    </row>
    <row r="164">
      <c r="A164" s="27"/>
      <c r="B164" s="28"/>
      <c r="C164" s="9"/>
      <c r="D164" s="60"/>
      <c r="E164" s="60"/>
      <c r="F164" s="28"/>
    </row>
    <row r="165">
      <c r="A165" s="27"/>
      <c r="B165" s="28"/>
      <c r="C165" s="9"/>
      <c r="D165" s="60"/>
      <c r="E165" s="60"/>
      <c r="F165" s="28"/>
    </row>
    <row r="166">
      <c r="A166" s="27"/>
      <c r="B166" s="28"/>
      <c r="C166" s="9"/>
      <c r="D166" s="60"/>
      <c r="E166" s="60"/>
      <c r="F166" s="28"/>
    </row>
    <row r="167">
      <c r="A167" s="27"/>
      <c r="B167" s="28"/>
      <c r="C167" s="9"/>
      <c r="D167" s="60"/>
      <c r="E167" s="60"/>
      <c r="F167" s="28"/>
    </row>
    <row r="168">
      <c r="A168" s="27"/>
      <c r="B168" s="28"/>
      <c r="C168" s="9"/>
      <c r="D168" s="60"/>
      <c r="E168" s="60"/>
      <c r="F168" s="28"/>
    </row>
    <row r="169">
      <c r="A169" s="27"/>
      <c r="B169" s="28"/>
      <c r="C169" s="9"/>
      <c r="D169" s="60"/>
      <c r="E169" s="60"/>
      <c r="F169" s="28"/>
    </row>
    <row r="170">
      <c r="A170" s="27"/>
      <c r="B170" s="28"/>
      <c r="C170" s="9"/>
      <c r="D170" s="60"/>
      <c r="E170" s="60"/>
      <c r="F170" s="28"/>
    </row>
    <row r="171">
      <c r="A171" s="27"/>
      <c r="B171" s="28"/>
      <c r="C171" s="9"/>
      <c r="D171" s="60"/>
      <c r="E171" s="60"/>
      <c r="F171" s="28"/>
    </row>
    <row r="172">
      <c r="A172" s="27"/>
      <c r="B172" s="28"/>
      <c r="C172" s="9"/>
      <c r="D172" s="60"/>
      <c r="E172" s="60"/>
      <c r="F172" s="28"/>
    </row>
    <row r="173">
      <c r="A173" s="27"/>
      <c r="B173" s="28"/>
      <c r="C173" s="9"/>
      <c r="D173" s="60"/>
      <c r="E173" s="60"/>
      <c r="F173" s="28"/>
    </row>
    <row r="174">
      <c r="A174" s="27"/>
      <c r="B174" s="28"/>
      <c r="C174" s="9"/>
      <c r="D174" s="60"/>
      <c r="E174" s="60"/>
      <c r="F174" s="28"/>
    </row>
    <row r="175">
      <c r="A175" s="27"/>
      <c r="B175" s="28"/>
      <c r="C175" s="9"/>
      <c r="D175" s="60"/>
      <c r="E175" s="60"/>
      <c r="F175" s="28"/>
    </row>
    <row r="176">
      <c r="A176" s="27"/>
      <c r="B176" s="28"/>
      <c r="C176" s="9"/>
      <c r="D176" s="60"/>
      <c r="E176" s="60"/>
      <c r="F176" s="28"/>
    </row>
    <row r="177">
      <c r="A177" s="27"/>
      <c r="B177" s="28"/>
      <c r="C177" s="9"/>
      <c r="D177" s="60"/>
      <c r="E177" s="60"/>
      <c r="F177" s="28"/>
    </row>
    <row r="178">
      <c r="A178" s="27"/>
      <c r="B178" s="28"/>
      <c r="C178" s="9"/>
      <c r="D178" s="60"/>
      <c r="E178" s="60"/>
      <c r="F178" s="28"/>
    </row>
    <row r="179">
      <c r="A179" s="27"/>
      <c r="B179" s="28"/>
      <c r="C179" s="9"/>
      <c r="D179" s="60"/>
      <c r="E179" s="60"/>
      <c r="F179" s="28"/>
    </row>
    <row r="180">
      <c r="A180" s="27"/>
      <c r="B180" s="28"/>
      <c r="C180" s="9"/>
      <c r="D180" s="60"/>
      <c r="E180" s="60"/>
      <c r="F180" s="28"/>
    </row>
    <row r="181">
      <c r="A181" s="27"/>
      <c r="B181" s="28"/>
      <c r="C181" s="9"/>
      <c r="D181" s="60"/>
      <c r="E181" s="60"/>
      <c r="F181" s="28"/>
    </row>
    <row r="182">
      <c r="A182" s="27"/>
      <c r="B182" s="28"/>
      <c r="C182" s="9"/>
      <c r="D182" s="60"/>
      <c r="E182" s="60"/>
      <c r="F182" s="28"/>
    </row>
    <row r="183">
      <c r="A183" s="27"/>
      <c r="B183" s="28"/>
      <c r="C183" s="9"/>
      <c r="D183" s="60"/>
      <c r="E183" s="60"/>
      <c r="F183" s="28"/>
    </row>
    <row r="184">
      <c r="A184" s="27"/>
      <c r="B184" s="28"/>
      <c r="C184" s="9"/>
      <c r="D184" s="60"/>
      <c r="E184" s="60"/>
      <c r="F184" s="28"/>
    </row>
    <row r="185">
      <c r="A185" s="27"/>
      <c r="B185" s="28"/>
      <c r="C185" s="9"/>
      <c r="D185" s="60"/>
      <c r="E185" s="60"/>
      <c r="F185" s="28"/>
    </row>
    <row r="186">
      <c r="A186" s="27"/>
      <c r="B186" s="28"/>
      <c r="C186" s="9"/>
      <c r="D186" s="60"/>
      <c r="E186" s="60"/>
      <c r="F186" s="28"/>
    </row>
    <row r="187">
      <c r="A187" s="27"/>
      <c r="B187" s="28"/>
      <c r="C187" s="9"/>
      <c r="D187" s="60"/>
      <c r="E187" s="60"/>
      <c r="F187" s="28"/>
    </row>
    <row r="188">
      <c r="A188" s="27"/>
      <c r="B188" s="28"/>
      <c r="C188" s="9"/>
      <c r="D188" s="60"/>
      <c r="E188" s="60"/>
      <c r="F188" s="28"/>
    </row>
    <row r="189">
      <c r="A189" s="27"/>
      <c r="B189" s="28"/>
      <c r="C189" s="9"/>
      <c r="D189" s="60"/>
      <c r="E189" s="60"/>
      <c r="F189" s="28"/>
    </row>
    <row r="190">
      <c r="A190" s="27"/>
      <c r="B190" s="28"/>
      <c r="C190" s="9"/>
      <c r="D190" s="60"/>
      <c r="E190" s="60"/>
      <c r="F190" s="28"/>
    </row>
    <row r="191">
      <c r="A191" s="27"/>
      <c r="B191" s="28"/>
      <c r="C191" s="9"/>
      <c r="D191" s="60"/>
      <c r="E191" s="60"/>
      <c r="F191" s="28"/>
    </row>
    <row r="192">
      <c r="A192" s="27"/>
      <c r="B192" s="28"/>
      <c r="C192" s="9"/>
      <c r="D192" s="60"/>
      <c r="E192" s="60"/>
      <c r="F192" s="28"/>
    </row>
    <row r="193">
      <c r="A193" s="27"/>
      <c r="B193" s="28"/>
      <c r="C193" s="9"/>
      <c r="D193" s="60"/>
      <c r="E193" s="60"/>
      <c r="F193" s="28"/>
    </row>
    <row r="194">
      <c r="A194" s="27"/>
      <c r="B194" s="28"/>
      <c r="C194" s="9"/>
      <c r="D194" s="60"/>
      <c r="E194" s="60"/>
      <c r="F194" s="28"/>
    </row>
    <row r="195">
      <c r="A195" s="27"/>
      <c r="B195" s="28"/>
      <c r="C195" s="9"/>
      <c r="D195" s="60"/>
      <c r="E195" s="60"/>
      <c r="F195" s="28"/>
    </row>
    <row r="196">
      <c r="A196" s="27"/>
      <c r="B196" s="28"/>
      <c r="C196" s="9"/>
      <c r="D196" s="60"/>
      <c r="E196" s="60"/>
      <c r="F196" s="28"/>
    </row>
    <row r="197">
      <c r="A197" s="27"/>
      <c r="B197" s="28"/>
      <c r="C197" s="9"/>
      <c r="D197" s="60"/>
      <c r="E197" s="60"/>
      <c r="F197" s="28"/>
    </row>
    <row r="198">
      <c r="A198" s="27"/>
      <c r="B198" s="28"/>
      <c r="C198" s="9"/>
      <c r="D198" s="60"/>
      <c r="E198" s="60"/>
      <c r="F198" s="28"/>
    </row>
    <row r="199">
      <c r="A199" s="27"/>
      <c r="B199" s="28"/>
      <c r="C199" s="9"/>
      <c r="D199" s="60"/>
      <c r="E199" s="60"/>
      <c r="F199" s="28"/>
    </row>
    <row r="200">
      <c r="A200" s="27"/>
      <c r="B200" s="28"/>
      <c r="C200" s="9"/>
      <c r="D200" s="60"/>
      <c r="E200" s="60"/>
      <c r="F200" s="28"/>
    </row>
    <row r="201">
      <c r="A201" s="27"/>
      <c r="B201" s="28"/>
      <c r="C201" s="9"/>
      <c r="D201" s="60"/>
      <c r="E201" s="60"/>
      <c r="F201" s="28"/>
    </row>
    <row r="202">
      <c r="A202" s="27"/>
      <c r="B202" s="28"/>
      <c r="C202" s="9"/>
      <c r="D202" s="60"/>
      <c r="E202" s="60"/>
      <c r="F202" s="28"/>
    </row>
    <row r="203">
      <c r="A203" s="27"/>
      <c r="B203" s="28"/>
      <c r="C203" s="9"/>
      <c r="D203" s="60"/>
      <c r="E203" s="60"/>
      <c r="F203" s="28"/>
    </row>
    <row r="204">
      <c r="A204" s="27"/>
      <c r="B204" s="28"/>
      <c r="C204" s="9"/>
      <c r="D204" s="60"/>
      <c r="E204" s="60"/>
      <c r="F204" s="28"/>
    </row>
    <row r="205">
      <c r="A205" s="27"/>
      <c r="B205" s="28"/>
      <c r="C205" s="9"/>
      <c r="D205" s="60"/>
      <c r="E205" s="60"/>
      <c r="F205" s="28"/>
    </row>
    <row r="206">
      <c r="A206" s="27"/>
      <c r="B206" s="28"/>
      <c r="C206" s="9"/>
      <c r="D206" s="60"/>
      <c r="E206" s="60"/>
      <c r="F206" s="28"/>
    </row>
    <row r="207">
      <c r="A207" s="27"/>
      <c r="B207" s="28"/>
      <c r="C207" s="9"/>
      <c r="D207" s="60"/>
      <c r="E207" s="60"/>
      <c r="F207" s="28"/>
    </row>
    <row r="208">
      <c r="A208" s="27"/>
      <c r="B208" s="28"/>
      <c r="C208" s="9"/>
      <c r="D208" s="60"/>
      <c r="E208" s="60"/>
      <c r="F208" s="28"/>
    </row>
    <row r="209">
      <c r="A209" s="27"/>
      <c r="B209" s="28"/>
      <c r="C209" s="9"/>
      <c r="D209" s="60"/>
      <c r="E209" s="60"/>
      <c r="F209" s="28"/>
    </row>
    <row r="210">
      <c r="A210" s="27"/>
      <c r="B210" s="28"/>
      <c r="C210" s="9"/>
      <c r="D210" s="60"/>
      <c r="E210" s="60"/>
      <c r="F210" s="28"/>
    </row>
    <row r="211">
      <c r="A211" s="27"/>
      <c r="B211" s="28"/>
      <c r="C211" s="9"/>
      <c r="D211" s="60"/>
      <c r="E211" s="60"/>
      <c r="F211" s="28"/>
    </row>
    <row r="212">
      <c r="A212" s="27"/>
      <c r="B212" s="28"/>
      <c r="C212" s="9"/>
      <c r="D212" s="60"/>
      <c r="E212" s="60"/>
      <c r="F212" s="28"/>
    </row>
    <row r="213">
      <c r="A213" s="27"/>
      <c r="B213" s="28"/>
      <c r="C213" s="9"/>
      <c r="D213" s="60"/>
      <c r="E213" s="60"/>
      <c r="F213" s="28"/>
    </row>
    <row r="214">
      <c r="A214" s="27"/>
      <c r="B214" s="28"/>
      <c r="C214" s="9"/>
      <c r="D214" s="60"/>
      <c r="E214" s="60"/>
      <c r="F214" s="28"/>
    </row>
    <row r="215">
      <c r="A215" s="27"/>
      <c r="B215" s="28"/>
      <c r="C215" s="9"/>
      <c r="D215" s="60"/>
      <c r="E215" s="60"/>
      <c r="F215" s="28"/>
    </row>
    <row r="216">
      <c r="A216" s="27"/>
      <c r="B216" s="28"/>
      <c r="C216" s="9"/>
      <c r="D216" s="60"/>
      <c r="E216" s="60"/>
      <c r="F216" s="28"/>
    </row>
    <row r="217">
      <c r="A217" s="27"/>
      <c r="B217" s="28"/>
      <c r="C217" s="9"/>
      <c r="D217" s="60"/>
      <c r="E217" s="60"/>
      <c r="F217" s="28"/>
    </row>
    <row r="218">
      <c r="A218" s="27"/>
      <c r="B218" s="28"/>
      <c r="C218" s="9"/>
      <c r="D218" s="60"/>
      <c r="E218" s="60"/>
      <c r="F218" s="28"/>
    </row>
    <row r="219">
      <c r="A219" s="27"/>
      <c r="B219" s="28"/>
      <c r="C219" s="9"/>
      <c r="D219" s="60"/>
      <c r="E219" s="60"/>
      <c r="F219" s="28"/>
    </row>
    <row r="220">
      <c r="A220" s="27"/>
      <c r="B220" s="28"/>
      <c r="C220" s="9"/>
      <c r="D220" s="60"/>
      <c r="E220" s="60"/>
      <c r="F220" s="28"/>
    </row>
    <row r="221">
      <c r="A221" s="27"/>
      <c r="B221" s="28"/>
      <c r="C221" s="9"/>
      <c r="D221" s="60"/>
      <c r="E221" s="60"/>
      <c r="F221" s="28"/>
    </row>
    <row r="222">
      <c r="A222" s="27"/>
      <c r="B222" s="28"/>
      <c r="C222" s="9"/>
      <c r="D222" s="60"/>
      <c r="E222" s="60"/>
      <c r="F222" s="28"/>
    </row>
    <row r="223">
      <c r="A223" s="27"/>
      <c r="B223" s="28"/>
      <c r="C223" s="9"/>
      <c r="D223" s="60"/>
      <c r="E223" s="60"/>
      <c r="F223" s="28"/>
    </row>
    <row r="224">
      <c r="A224" s="27"/>
      <c r="B224" s="28"/>
      <c r="C224" s="9"/>
      <c r="D224" s="60"/>
      <c r="E224" s="60"/>
      <c r="F224" s="28"/>
    </row>
    <row r="225">
      <c r="A225" s="27"/>
      <c r="B225" s="28"/>
      <c r="C225" s="9"/>
      <c r="D225" s="60"/>
      <c r="E225" s="60"/>
      <c r="F225" s="28"/>
    </row>
    <row r="226">
      <c r="A226" s="27"/>
      <c r="B226" s="28"/>
      <c r="C226" s="9"/>
      <c r="D226" s="60"/>
      <c r="E226" s="60"/>
      <c r="F226" s="28"/>
    </row>
    <row r="227">
      <c r="A227" s="27"/>
      <c r="B227" s="28"/>
      <c r="C227" s="9"/>
      <c r="D227" s="60"/>
      <c r="E227" s="60"/>
      <c r="F227" s="28"/>
    </row>
    <row r="228">
      <c r="A228" s="27"/>
      <c r="B228" s="28"/>
      <c r="C228" s="9"/>
      <c r="D228" s="60"/>
      <c r="E228" s="60"/>
      <c r="F228" s="28"/>
    </row>
    <row r="229">
      <c r="A229" s="27"/>
      <c r="B229" s="28"/>
      <c r="C229" s="9"/>
      <c r="D229" s="60"/>
      <c r="E229" s="60"/>
      <c r="F229" s="28"/>
    </row>
    <row r="230">
      <c r="A230" s="27"/>
      <c r="B230" s="28"/>
      <c r="C230" s="9"/>
      <c r="D230" s="60"/>
      <c r="E230" s="60"/>
      <c r="F230" s="28"/>
    </row>
    <row r="231">
      <c r="A231" s="27"/>
      <c r="B231" s="28"/>
      <c r="C231" s="9"/>
      <c r="D231" s="60"/>
      <c r="E231" s="60"/>
      <c r="F231" s="28"/>
    </row>
    <row r="232">
      <c r="A232" s="27"/>
      <c r="B232" s="28"/>
      <c r="C232" s="9"/>
      <c r="D232" s="60"/>
      <c r="E232" s="60"/>
      <c r="F232" s="28"/>
    </row>
    <row r="233">
      <c r="A233" s="27"/>
      <c r="B233" s="28"/>
      <c r="C233" s="9"/>
      <c r="D233" s="60"/>
      <c r="E233" s="60"/>
      <c r="F233" s="28"/>
    </row>
    <row r="234">
      <c r="A234" s="27"/>
      <c r="B234" s="28"/>
      <c r="C234" s="9"/>
      <c r="D234" s="60"/>
      <c r="E234" s="60"/>
      <c r="F234" s="28"/>
    </row>
    <row r="235">
      <c r="A235" s="27"/>
      <c r="B235" s="28"/>
      <c r="C235" s="9"/>
      <c r="D235" s="60"/>
      <c r="E235" s="60"/>
      <c r="F235" s="28"/>
    </row>
    <row r="236">
      <c r="A236" s="27"/>
      <c r="B236" s="28"/>
      <c r="C236" s="9"/>
      <c r="D236" s="60"/>
      <c r="E236" s="60"/>
      <c r="F236" s="28"/>
    </row>
    <row r="237">
      <c r="A237" s="27"/>
      <c r="B237" s="28"/>
      <c r="C237" s="9"/>
      <c r="D237" s="60"/>
      <c r="E237" s="60"/>
      <c r="F237" s="28"/>
    </row>
    <row r="238">
      <c r="A238" s="27"/>
      <c r="B238" s="28"/>
      <c r="C238" s="9"/>
      <c r="D238" s="60"/>
      <c r="E238" s="60"/>
      <c r="F238" s="28"/>
    </row>
    <row r="239">
      <c r="A239" s="27"/>
      <c r="B239" s="28"/>
      <c r="C239" s="9"/>
      <c r="D239" s="60"/>
      <c r="E239" s="60"/>
      <c r="F239" s="28"/>
    </row>
    <row r="240">
      <c r="A240" s="27"/>
      <c r="B240" s="28"/>
      <c r="C240" s="9"/>
      <c r="D240" s="60"/>
      <c r="E240" s="60"/>
      <c r="F240" s="28"/>
    </row>
    <row r="241">
      <c r="A241" s="27"/>
      <c r="B241" s="28"/>
      <c r="C241" s="9"/>
      <c r="D241" s="60"/>
      <c r="E241" s="60"/>
      <c r="F241" s="28"/>
    </row>
    <row r="242">
      <c r="A242" s="27"/>
      <c r="B242" s="28"/>
      <c r="C242" s="9"/>
      <c r="D242" s="60"/>
      <c r="E242" s="60"/>
      <c r="F242" s="28"/>
    </row>
    <row r="243">
      <c r="A243" s="27"/>
      <c r="B243" s="28"/>
      <c r="C243" s="9"/>
      <c r="D243" s="60"/>
      <c r="E243" s="60"/>
      <c r="F243" s="28"/>
    </row>
    <row r="244">
      <c r="A244" s="27"/>
      <c r="B244" s="28"/>
      <c r="C244" s="9"/>
      <c r="D244" s="60"/>
      <c r="E244" s="60"/>
      <c r="F244" s="28"/>
    </row>
    <row r="245">
      <c r="A245" s="27"/>
      <c r="B245" s="28"/>
      <c r="C245" s="9"/>
      <c r="D245" s="60"/>
      <c r="E245" s="60"/>
      <c r="F245" s="28"/>
    </row>
    <row r="246">
      <c r="A246" s="27"/>
      <c r="B246" s="28"/>
      <c r="C246" s="9"/>
      <c r="D246" s="60"/>
      <c r="E246" s="60"/>
      <c r="F246" s="28"/>
    </row>
    <row r="247">
      <c r="A247" s="27"/>
      <c r="B247" s="28"/>
      <c r="C247" s="9"/>
      <c r="D247" s="60"/>
      <c r="E247" s="60"/>
      <c r="F247" s="28"/>
    </row>
    <row r="248">
      <c r="A248" s="27"/>
      <c r="B248" s="28"/>
      <c r="C248" s="9"/>
      <c r="D248" s="60"/>
      <c r="E248" s="60"/>
      <c r="F248" s="28"/>
    </row>
    <row r="249">
      <c r="A249" s="27"/>
      <c r="B249" s="28"/>
      <c r="C249" s="9"/>
      <c r="D249" s="60"/>
      <c r="E249" s="60"/>
      <c r="F249" s="28"/>
    </row>
    <row r="250">
      <c r="A250" s="27"/>
      <c r="B250" s="28"/>
      <c r="C250" s="9"/>
      <c r="D250" s="60"/>
      <c r="E250" s="60"/>
      <c r="F250" s="28"/>
    </row>
    <row r="251">
      <c r="A251" s="27"/>
      <c r="B251" s="28"/>
      <c r="C251" s="9"/>
      <c r="D251" s="60"/>
      <c r="E251" s="60"/>
      <c r="F251" s="28"/>
    </row>
    <row r="252">
      <c r="A252" s="27"/>
      <c r="B252" s="28"/>
      <c r="C252" s="9"/>
      <c r="D252" s="60"/>
      <c r="E252" s="60"/>
      <c r="F252" s="28"/>
    </row>
    <row r="253">
      <c r="A253" s="27"/>
      <c r="B253" s="28"/>
      <c r="C253" s="9"/>
      <c r="D253" s="60"/>
      <c r="E253" s="60"/>
      <c r="F253" s="28"/>
    </row>
    <row r="254">
      <c r="A254" s="27"/>
      <c r="B254" s="28"/>
      <c r="C254" s="9"/>
      <c r="D254" s="60"/>
      <c r="E254" s="60"/>
      <c r="F254" s="28"/>
    </row>
    <row r="255">
      <c r="A255" s="27"/>
      <c r="B255" s="28"/>
      <c r="C255" s="9"/>
      <c r="D255" s="60"/>
      <c r="E255" s="60"/>
      <c r="F255" s="28"/>
    </row>
    <row r="256">
      <c r="A256" s="27"/>
      <c r="B256" s="28"/>
      <c r="C256" s="9"/>
      <c r="D256" s="60"/>
      <c r="E256" s="60"/>
      <c r="F256" s="28"/>
    </row>
    <row r="257">
      <c r="A257" s="27"/>
      <c r="B257" s="28"/>
      <c r="C257" s="9"/>
      <c r="D257" s="60"/>
      <c r="E257" s="60"/>
      <c r="F257" s="28"/>
    </row>
    <row r="258">
      <c r="A258" s="27"/>
      <c r="B258" s="28"/>
      <c r="C258" s="9"/>
      <c r="D258" s="60"/>
      <c r="E258" s="60"/>
      <c r="F258" s="28"/>
    </row>
    <row r="259">
      <c r="A259" s="27"/>
      <c r="B259" s="28"/>
      <c r="C259" s="9"/>
      <c r="D259" s="60"/>
      <c r="E259" s="60"/>
      <c r="F259" s="28"/>
    </row>
    <row r="260">
      <c r="A260" s="27"/>
      <c r="B260" s="28"/>
      <c r="C260" s="9"/>
      <c r="D260" s="60"/>
      <c r="E260" s="60"/>
      <c r="F260" s="28"/>
    </row>
    <row r="261">
      <c r="A261" s="27"/>
      <c r="B261" s="28"/>
      <c r="C261" s="9"/>
      <c r="D261" s="60"/>
      <c r="E261" s="60"/>
      <c r="F261" s="28"/>
    </row>
    <row r="262">
      <c r="A262" s="27"/>
      <c r="B262" s="28"/>
      <c r="C262" s="9"/>
      <c r="D262" s="60"/>
      <c r="E262" s="60"/>
      <c r="F262" s="28"/>
    </row>
    <row r="263">
      <c r="A263" s="27"/>
      <c r="B263" s="28"/>
      <c r="C263" s="9"/>
      <c r="D263" s="60"/>
      <c r="E263" s="60"/>
      <c r="F263" s="28"/>
    </row>
    <row r="264">
      <c r="A264" s="27"/>
      <c r="B264" s="28"/>
      <c r="C264" s="9"/>
      <c r="D264" s="60"/>
      <c r="E264" s="60"/>
      <c r="F264" s="28"/>
    </row>
    <row r="265">
      <c r="A265" s="27"/>
      <c r="B265" s="28"/>
      <c r="C265" s="9"/>
      <c r="D265" s="60"/>
      <c r="E265" s="60"/>
      <c r="F265" s="28"/>
    </row>
    <row r="266">
      <c r="A266" s="27"/>
      <c r="B266" s="28"/>
      <c r="C266" s="9"/>
      <c r="D266" s="60"/>
      <c r="E266" s="60"/>
      <c r="F266" s="28"/>
    </row>
    <row r="267">
      <c r="A267" s="27"/>
      <c r="B267" s="28"/>
      <c r="C267" s="9"/>
      <c r="D267" s="60"/>
      <c r="E267" s="60"/>
      <c r="F267" s="28"/>
    </row>
    <row r="268">
      <c r="A268" s="27"/>
      <c r="B268" s="28"/>
      <c r="C268" s="9"/>
      <c r="D268" s="60"/>
      <c r="E268" s="60"/>
      <c r="F268" s="28"/>
    </row>
    <row r="269">
      <c r="A269" s="27"/>
      <c r="B269" s="28"/>
      <c r="C269" s="9"/>
      <c r="D269" s="60"/>
      <c r="E269" s="60"/>
      <c r="F269" s="28"/>
    </row>
    <row r="270">
      <c r="A270" s="27"/>
      <c r="B270" s="28"/>
      <c r="C270" s="9"/>
      <c r="D270" s="60"/>
      <c r="E270" s="60"/>
      <c r="F270" s="28"/>
    </row>
    <row r="271">
      <c r="A271" s="27"/>
      <c r="B271" s="28"/>
      <c r="C271" s="9"/>
      <c r="D271" s="60"/>
      <c r="E271" s="60"/>
      <c r="F271" s="28"/>
    </row>
    <row r="272">
      <c r="A272" s="27"/>
      <c r="B272" s="28"/>
      <c r="C272" s="9"/>
      <c r="D272" s="60"/>
      <c r="E272" s="60"/>
      <c r="F272" s="28"/>
    </row>
    <row r="273">
      <c r="A273" s="27"/>
      <c r="B273" s="28"/>
      <c r="C273" s="9"/>
      <c r="D273" s="60"/>
      <c r="E273" s="60"/>
      <c r="F273" s="28"/>
    </row>
    <row r="274">
      <c r="A274" s="27"/>
      <c r="B274" s="28"/>
      <c r="C274" s="9"/>
      <c r="D274" s="60"/>
      <c r="E274" s="60"/>
      <c r="F274" s="28"/>
    </row>
    <row r="275">
      <c r="A275" s="27"/>
      <c r="B275" s="28"/>
      <c r="C275" s="9"/>
      <c r="D275" s="60"/>
      <c r="E275" s="60"/>
      <c r="F275" s="28"/>
    </row>
    <row r="276">
      <c r="A276" s="27"/>
      <c r="B276" s="28"/>
      <c r="C276" s="9"/>
      <c r="D276" s="60"/>
      <c r="E276" s="60"/>
      <c r="F276" s="28"/>
    </row>
    <row r="277">
      <c r="A277" s="27"/>
      <c r="B277" s="28"/>
      <c r="C277" s="9"/>
      <c r="D277" s="60"/>
      <c r="E277" s="60"/>
      <c r="F277" s="28"/>
    </row>
    <row r="278">
      <c r="A278" s="27"/>
      <c r="B278" s="28"/>
      <c r="C278" s="9"/>
      <c r="D278" s="60"/>
      <c r="E278" s="60"/>
      <c r="F278" s="28"/>
    </row>
    <row r="279">
      <c r="A279" s="27"/>
      <c r="B279" s="28"/>
      <c r="C279" s="9"/>
      <c r="D279" s="60"/>
      <c r="E279" s="60"/>
      <c r="F279" s="28"/>
    </row>
    <row r="280">
      <c r="A280" s="27"/>
      <c r="B280" s="28"/>
      <c r="C280" s="9"/>
      <c r="D280" s="60"/>
      <c r="E280" s="60"/>
      <c r="F280" s="28"/>
    </row>
    <row r="281">
      <c r="A281" s="27"/>
      <c r="B281" s="28"/>
      <c r="C281" s="9"/>
      <c r="D281" s="60"/>
      <c r="E281" s="60"/>
      <c r="F281" s="28"/>
    </row>
    <row r="282">
      <c r="A282" s="27"/>
      <c r="B282" s="28"/>
      <c r="C282" s="9"/>
      <c r="D282" s="60"/>
      <c r="E282" s="60"/>
      <c r="F282" s="28"/>
    </row>
    <row r="283">
      <c r="A283" s="27"/>
      <c r="B283" s="28"/>
      <c r="C283" s="9"/>
      <c r="D283" s="60"/>
      <c r="E283" s="60"/>
      <c r="F283" s="28"/>
    </row>
    <row r="284">
      <c r="A284" s="27"/>
      <c r="B284" s="28"/>
      <c r="C284" s="9"/>
      <c r="D284" s="60"/>
      <c r="E284" s="60"/>
      <c r="F284" s="28"/>
    </row>
    <row r="285">
      <c r="A285" s="27"/>
      <c r="B285" s="28"/>
      <c r="C285" s="9"/>
      <c r="D285" s="60"/>
      <c r="E285" s="60"/>
      <c r="F285" s="28"/>
    </row>
    <row r="286">
      <c r="A286" s="27"/>
      <c r="B286" s="28"/>
      <c r="C286" s="9"/>
      <c r="D286" s="60"/>
      <c r="E286" s="60"/>
      <c r="F286" s="28"/>
    </row>
    <row r="287">
      <c r="A287" s="27"/>
      <c r="B287" s="28"/>
      <c r="C287" s="9"/>
      <c r="D287" s="60"/>
      <c r="E287" s="60"/>
      <c r="F287" s="28"/>
    </row>
    <row r="288">
      <c r="A288" s="27"/>
      <c r="B288" s="28"/>
      <c r="C288" s="9"/>
      <c r="D288" s="60"/>
      <c r="E288" s="60"/>
      <c r="F288" s="28"/>
    </row>
    <row r="289">
      <c r="A289" s="27"/>
      <c r="B289" s="28"/>
      <c r="C289" s="9"/>
      <c r="D289" s="60"/>
      <c r="E289" s="60"/>
      <c r="F289" s="28"/>
    </row>
    <row r="290">
      <c r="A290" s="27"/>
      <c r="B290" s="28"/>
      <c r="C290" s="9"/>
      <c r="D290" s="60"/>
      <c r="E290" s="60"/>
      <c r="F290" s="28"/>
    </row>
    <row r="291">
      <c r="A291" s="27"/>
      <c r="B291" s="28"/>
      <c r="C291" s="9"/>
      <c r="D291" s="60"/>
      <c r="E291" s="60"/>
      <c r="F291" s="28"/>
    </row>
    <row r="292">
      <c r="A292" s="27"/>
      <c r="B292" s="28"/>
      <c r="C292" s="9"/>
      <c r="D292" s="60"/>
      <c r="E292" s="60"/>
      <c r="F292" s="28"/>
    </row>
    <row r="293">
      <c r="A293" s="27"/>
      <c r="B293" s="28"/>
      <c r="C293" s="9"/>
      <c r="D293" s="60"/>
      <c r="E293" s="60"/>
      <c r="F293" s="28"/>
    </row>
    <row r="294">
      <c r="A294" s="27"/>
      <c r="B294" s="28"/>
      <c r="C294" s="9"/>
      <c r="D294" s="60"/>
      <c r="E294" s="60"/>
      <c r="F294" s="28"/>
    </row>
    <row r="295">
      <c r="A295" s="27"/>
      <c r="B295" s="28"/>
      <c r="C295" s="9"/>
      <c r="D295" s="60"/>
      <c r="E295" s="60"/>
      <c r="F295" s="28"/>
    </row>
    <row r="296">
      <c r="A296" s="27"/>
      <c r="B296" s="28"/>
      <c r="C296" s="9"/>
      <c r="D296" s="60"/>
      <c r="E296" s="60"/>
      <c r="F296" s="28"/>
    </row>
    <row r="297">
      <c r="A297" s="27"/>
      <c r="B297" s="28"/>
      <c r="C297" s="9"/>
      <c r="D297" s="60"/>
      <c r="E297" s="60"/>
      <c r="F297" s="28"/>
    </row>
    <row r="298">
      <c r="A298" s="27"/>
      <c r="B298" s="28"/>
      <c r="C298" s="9"/>
      <c r="D298" s="60"/>
      <c r="E298" s="60"/>
      <c r="F298" s="28"/>
    </row>
    <row r="299">
      <c r="A299" s="27"/>
      <c r="B299" s="28"/>
      <c r="C299" s="9"/>
      <c r="D299" s="60"/>
      <c r="E299" s="60"/>
      <c r="F299" s="28"/>
    </row>
    <row r="300">
      <c r="A300" s="27"/>
      <c r="B300" s="28"/>
      <c r="C300" s="9"/>
      <c r="D300" s="60"/>
      <c r="E300" s="60"/>
      <c r="F300" s="28"/>
    </row>
    <row r="301">
      <c r="A301" s="27"/>
      <c r="B301" s="28"/>
      <c r="C301" s="9"/>
      <c r="D301" s="60"/>
      <c r="E301" s="60"/>
      <c r="F301" s="28"/>
    </row>
    <row r="302">
      <c r="A302" s="27"/>
      <c r="B302" s="28"/>
      <c r="C302" s="9"/>
      <c r="D302" s="60"/>
      <c r="E302" s="60"/>
      <c r="F302" s="28"/>
    </row>
    <row r="303">
      <c r="A303" s="27"/>
      <c r="B303" s="28"/>
      <c r="C303" s="9"/>
      <c r="D303" s="60"/>
      <c r="E303" s="60"/>
      <c r="F303" s="28"/>
    </row>
    <row r="304">
      <c r="A304" s="27"/>
      <c r="B304" s="28"/>
      <c r="C304" s="9"/>
      <c r="D304" s="60"/>
      <c r="E304" s="60"/>
      <c r="F304" s="28"/>
    </row>
    <row r="305">
      <c r="A305" s="27"/>
      <c r="B305" s="28"/>
      <c r="C305" s="9"/>
      <c r="D305" s="60"/>
      <c r="E305" s="60"/>
      <c r="F305" s="28"/>
    </row>
    <row r="306">
      <c r="A306" s="27"/>
      <c r="B306" s="28"/>
      <c r="C306" s="9"/>
      <c r="D306" s="60"/>
      <c r="E306" s="60"/>
      <c r="F306" s="28"/>
    </row>
    <row r="307">
      <c r="A307" s="27"/>
      <c r="B307" s="28"/>
      <c r="C307" s="9"/>
      <c r="D307" s="60"/>
      <c r="E307" s="60"/>
      <c r="F307" s="28"/>
    </row>
    <row r="308">
      <c r="A308" s="27"/>
      <c r="B308" s="28"/>
      <c r="C308" s="9"/>
      <c r="D308" s="60"/>
      <c r="E308" s="60"/>
      <c r="F308" s="28"/>
    </row>
    <row r="309">
      <c r="A309" s="27"/>
      <c r="B309" s="28"/>
      <c r="C309" s="9"/>
      <c r="D309" s="60"/>
      <c r="E309" s="60"/>
      <c r="F309" s="28"/>
    </row>
    <row r="310">
      <c r="A310" s="27"/>
      <c r="B310" s="28"/>
      <c r="C310" s="9"/>
      <c r="D310" s="60"/>
      <c r="E310" s="60"/>
      <c r="F310" s="28"/>
    </row>
    <row r="311">
      <c r="A311" s="27"/>
      <c r="B311" s="28"/>
      <c r="C311" s="9"/>
      <c r="D311" s="60"/>
      <c r="E311" s="60"/>
      <c r="F311" s="28"/>
    </row>
    <row r="312">
      <c r="A312" s="27"/>
      <c r="B312" s="28"/>
      <c r="C312" s="9"/>
      <c r="D312" s="60"/>
      <c r="E312" s="60"/>
      <c r="F312" s="28"/>
    </row>
    <row r="313">
      <c r="A313" s="27"/>
      <c r="B313" s="28"/>
      <c r="C313" s="9"/>
      <c r="D313" s="60"/>
      <c r="E313" s="60"/>
      <c r="F313" s="28"/>
    </row>
    <row r="314">
      <c r="A314" s="27"/>
      <c r="B314" s="28"/>
      <c r="C314" s="9"/>
      <c r="D314" s="60"/>
      <c r="E314" s="60"/>
      <c r="F314" s="28"/>
    </row>
    <row r="315">
      <c r="A315" s="27"/>
      <c r="B315" s="28"/>
      <c r="C315" s="9"/>
      <c r="D315" s="60"/>
      <c r="E315" s="60"/>
      <c r="F315" s="28"/>
    </row>
    <row r="316">
      <c r="A316" s="27"/>
      <c r="B316" s="28"/>
      <c r="C316" s="9"/>
      <c r="D316" s="60"/>
      <c r="E316" s="60"/>
      <c r="F316" s="28"/>
    </row>
    <row r="317">
      <c r="A317" s="27"/>
      <c r="B317" s="28"/>
      <c r="C317" s="9"/>
      <c r="D317" s="60"/>
      <c r="E317" s="60"/>
      <c r="F317" s="28"/>
    </row>
    <row r="318">
      <c r="A318" s="27"/>
      <c r="B318" s="28"/>
      <c r="C318" s="9"/>
      <c r="D318" s="60"/>
      <c r="E318" s="60"/>
      <c r="F318" s="28"/>
    </row>
    <row r="319">
      <c r="A319" s="27"/>
      <c r="B319" s="28"/>
      <c r="C319" s="9"/>
      <c r="D319" s="60"/>
      <c r="E319" s="60"/>
      <c r="F319" s="28"/>
    </row>
    <row r="320">
      <c r="A320" s="27"/>
      <c r="B320" s="28"/>
      <c r="C320" s="9"/>
      <c r="D320" s="60"/>
      <c r="E320" s="60"/>
      <c r="F320" s="28"/>
    </row>
    <row r="321">
      <c r="A321" s="27"/>
      <c r="B321" s="28"/>
      <c r="C321" s="9"/>
      <c r="D321" s="60"/>
      <c r="E321" s="60"/>
      <c r="F321" s="28"/>
    </row>
    <row r="322">
      <c r="A322" s="27"/>
      <c r="B322" s="28"/>
      <c r="C322" s="9"/>
      <c r="D322" s="60"/>
      <c r="E322" s="60"/>
      <c r="F322" s="28"/>
    </row>
    <row r="323">
      <c r="A323" s="27"/>
      <c r="B323" s="28"/>
      <c r="C323" s="9"/>
      <c r="D323" s="60"/>
      <c r="E323" s="60"/>
      <c r="F323" s="28"/>
    </row>
    <row r="324">
      <c r="A324" s="27"/>
      <c r="B324" s="28"/>
      <c r="C324" s="9"/>
      <c r="D324" s="60"/>
      <c r="E324" s="60"/>
      <c r="F324" s="28"/>
    </row>
    <row r="325">
      <c r="A325" s="27"/>
      <c r="B325" s="28"/>
      <c r="C325" s="9"/>
      <c r="D325" s="60"/>
      <c r="E325" s="60"/>
      <c r="F325" s="28"/>
    </row>
    <row r="326">
      <c r="A326" s="27"/>
      <c r="B326" s="28"/>
      <c r="C326" s="9"/>
      <c r="D326" s="60"/>
      <c r="E326" s="60"/>
      <c r="F326" s="28"/>
    </row>
    <row r="327">
      <c r="A327" s="27"/>
      <c r="B327" s="28"/>
      <c r="C327" s="9"/>
      <c r="D327" s="60"/>
      <c r="E327" s="60"/>
      <c r="F327" s="28"/>
    </row>
    <row r="328">
      <c r="A328" s="27"/>
      <c r="B328" s="28"/>
      <c r="C328" s="9"/>
      <c r="D328" s="60"/>
      <c r="E328" s="60"/>
      <c r="F328" s="28"/>
    </row>
    <row r="329">
      <c r="A329" s="27"/>
      <c r="B329" s="28"/>
      <c r="C329" s="9"/>
      <c r="D329" s="60"/>
      <c r="E329" s="60"/>
      <c r="F329" s="28"/>
    </row>
    <row r="330">
      <c r="A330" s="27"/>
      <c r="B330" s="28"/>
      <c r="C330" s="9"/>
      <c r="D330" s="60"/>
      <c r="E330" s="60"/>
      <c r="F330" s="28"/>
    </row>
    <row r="331">
      <c r="A331" s="27"/>
      <c r="B331" s="28"/>
      <c r="C331" s="9"/>
      <c r="D331" s="60"/>
      <c r="E331" s="60"/>
      <c r="F331" s="28"/>
    </row>
    <row r="332">
      <c r="A332" s="27"/>
      <c r="B332" s="28"/>
      <c r="C332" s="9"/>
      <c r="D332" s="60"/>
      <c r="E332" s="60"/>
      <c r="F332" s="28"/>
    </row>
    <row r="333">
      <c r="A333" s="27"/>
      <c r="B333" s="28"/>
      <c r="C333" s="9"/>
      <c r="D333" s="60"/>
      <c r="E333" s="60"/>
      <c r="F333" s="28"/>
    </row>
    <row r="334">
      <c r="A334" s="27"/>
      <c r="B334" s="28"/>
      <c r="C334" s="9"/>
      <c r="D334" s="60"/>
      <c r="E334" s="60"/>
      <c r="F334" s="28"/>
    </row>
    <row r="335">
      <c r="A335" s="27"/>
      <c r="B335" s="28"/>
      <c r="C335" s="9"/>
      <c r="D335" s="60"/>
      <c r="E335" s="60"/>
      <c r="F335" s="28"/>
    </row>
    <row r="336">
      <c r="A336" s="27"/>
      <c r="B336" s="28"/>
      <c r="C336" s="9"/>
      <c r="D336" s="60"/>
      <c r="E336" s="60"/>
      <c r="F336" s="28"/>
    </row>
    <row r="337">
      <c r="A337" s="27"/>
      <c r="B337" s="28"/>
      <c r="C337" s="9"/>
      <c r="D337" s="60"/>
      <c r="E337" s="60"/>
      <c r="F337" s="28"/>
    </row>
    <row r="338">
      <c r="A338" s="27"/>
      <c r="B338" s="28"/>
      <c r="C338" s="9"/>
      <c r="D338" s="60"/>
      <c r="E338" s="60"/>
      <c r="F338" s="28"/>
    </row>
    <row r="339">
      <c r="A339" s="27"/>
      <c r="B339" s="28"/>
      <c r="C339" s="9"/>
      <c r="D339" s="60"/>
      <c r="E339" s="60"/>
      <c r="F339" s="28"/>
    </row>
    <row r="340">
      <c r="A340" s="27"/>
      <c r="B340" s="28"/>
      <c r="C340" s="9"/>
      <c r="D340" s="60"/>
      <c r="E340" s="60"/>
      <c r="F340" s="28"/>
    </row>
    <row r="341">
      <c r="A341" s="27"/>
      <c r="B341" s="28"/>
      <c r="C341" s="9"/>
      <c r="D341" s="60"/>
      <c r="E341" s="60"/>
      <c r="F341" s="28"/>
    </row>
    <row r="342">
      <c r="A342" s="27"/>
      <c r="B342" s="28"/>
      <c r="C342" s="9"/>
      <c r="D342" s="60"/>
      <c r="E342" s="60"/>
      <c r="F342" s="28"/>
    </row>
    <row r="343">
      <c r="A343" s="27"/>
      <c r="B343" s="28"/>
      <c r="C343" s="9"/>
      <c r="D343" s="60"/>
      <c r="E343" s="60"/>
      <c r="F343" s="28"/>
    </row>
    <row r="344">
      <c r="A344" s="27"/>
      <c r="B344" s="28"/>
      <c r="C344" s="9"/>
      <c r="D344" s="60"/>
      <c r="E344" s="60"/>
      <c r="F344" s="28"/>
    </row>
    <row r="345">
      <c r="A345" s="27"/>
      <c r="B345" s="28"/>
      <c r="C345" s="9"/>
      <c r="D345" s="60"/>
      <c r="E345" s="60"/>
      <c r="F345" s="28"/>
    </row>
    <row r="346">
      <c r="A346" s="27"/>
      <c r="B346" s="28"/>
      <c r="C346" s="9"/>
      <c r="D346" s="60"/>
      <c r="E346" s="60"/>
      <c r="F346" s="28"/>
    </row>
    <row r="347">
      <c r="A347" s="27"/>
      <c r="B347" s="28"/>
      <c r="C347" s="9"/>
      <c r="D347" s="60"/>
      <c r="E347" s="60"/>
      <c r="F347" s="28"/>
    </row>
    <row r="348">
      <c r="A348" s="27"/>
      <c r="B348" s="28"/>
      <c r="C348" s="9"/>
      <c r="D348" s="60"/>
      <c r="E348" s="60"/>
      <c r="F348" s="28"/>
    </row>
    <row r="349">
      <c r="A349" s="27"/>
      <c r="B349" s="28"/>
      <c r="C349" s="9"/>
      <c r="D349" s="60"/>
      <c r="E349" s="60"/>
      <c r="F349" s="28"/>
    </row>
    <row r="350">
      <c r="A350" s="27"/>
      <c r="B350" s="28"/>
      <c r="C350" s="9"/>
      <c r="D350" s="60"/>
      <c r="E350" s="60"/>
      <c r="F350" s="28"/>
    </row>
    <row r="351">
      <c r="A351" s="27"/>
      <c r="B351" s="28"/>
      <c r="C351" s="9"/>
      <c r="D351" s="60"/>
      <c r="E351" s="60"/>
      <c r="F351" s="28"/>
    </row>
    <row r="352">
      <c r="A352" s="27"/>
      <c r="B352" s="28"/>
      <c r="C352" s="9"/>
      <c r="D352" s="60"/>
      <c r="E352" s="60"/>
      <c r="F352" s="28"/>
    </row>
    <row r="353">
      <c r="A353" s="27"/>
      <c r="B353" s="28"/>
      <c r="C353" s="9"/>
      <c r="D353" s="60"/>
      <c r="E353" s="60"/>
      <c r="F353" s="28"/>
    </row>
    <row r="354">
      <c r="A354" s="27"/>
      <c r="B354" s="28"/>
      <c r="C354" s="9"/>
      <c r="D354" s="60"/>
      <c r="E354" s="60"/>
      <c r="F354" s="28"/>
    </row>
    <row r="355">
      <c r="A355" s="27"/>
      <c r="B355" s="28"/>
      <c r="C355" s="9"/>
      <c r="D355" s="60"/>
      <c r="E355" s="60"/>
      <c r="F355" s="28"/>
    </row>
    <row r="356">
      <c r="A356" s="27"/>
      <c r="B356" s="28"/>
      <c r="C356" s="9"/>
      <c r="D356" s="60"/>
      <c r="E356" s="60"/>
      <c r="F356" s="28"/>
    </row>
    <row r="357">
      <c r="A357" s="27"/>
      <c r="B357" s="28"/>
      <c r="C357" s="9"/>
      <c r="D357" s="60"/>
      <c r="E357" s="60"/>
      <c r="F357" s="28"/>
    </row>
    <row r="358">
      <c r="A358" s="27"/>
      <c r="B358" s="28"/>
      <c r="C358" s="9"/>
      <c r="D358" s="60"/>
      <c r="E358" s="60"/>
      <c r="F358" s="28"/>
    </row>
    <row r="359">
      <c r="A359" s="27"/>
      <c r="B359" s="28"/>
      <c r="C359" s="9"/>
      <c r="D359" s="60"/>
      <c r="E359" s="60"/>
      <c r="F359" s="28"/>
    </row>
    <row r="360">
      <c r="A360" s="27"/>
      <c r="B360" s="28"/>
      <c r="C360" s="9"/>
      <c r="D360" s="60"/>
      <c r="E360" s="60"/>
      <c r="F360" s="28"/>
    </row>
    <row r="361">
      <c r="A361" s="27"/>
      <c r="B361" s="28"/>
      <c r="C361" s="9"/>
      <c r="D361" s="60"/>
      <c r="E361" s="60"/>
      <c r="F361" s="28"/>
    </row>
    <row r="362">
      <c r="A362" s="27"/>
      <c r="B362" s="28"/>
      <c r="C362" s="9"/>
      <c r="D362" s="60"/>
      <c r="E362" s="60"/>
      <c r="F362" s="28"/>
    </row>
    <row r="363">
      <c r="A363" s="27"/>
      <c r="B363" s="28"/>
      <c r="C363" s="9"/>
      <c r="D363" s="60"/>
      <c r="E363" s="60"/>
      <c r="F363" s="28"/>
    </row>
    <row r="364">
      <c r="A364" s="27"/>
      <c r="B364" s="28"/>
      <c r="C364" s="9"/>
      <c r="D364" s="60"/>
      <c r="E364" s="60"/>
      <c r="F364" s="28"/>
    </row>
    <row r="365">
      <c r="A365" s="27"/>
      <c r="B365" s="28"/>
      <c r="C365" s="9"/>
      <c r="D365" s="60"/>
      <c r="E365" s="60"/>
      <c r="F365" s="28"/>
    </row>
    <row r="366">
      <c r="A366" s="27"/>
      <c r="B366" s="28"/>
      <c r="C366" s="9"/>
      <c r="D366" s="60"/>
      <c r="E366" s="60"/>
      <c r="F366" s="28"/>
    </row>
    <row r="367">
      <c r="A367" s="27"/>
      <c r="B367" s="28"/>
      <c r="C367" s="9"/>
      <c r="D367" s="60"/>
      <c r="E367" s="60"/>
      <c r="F367" s="28"/>
    </row>
    <row r="368">
      <c r="A368" s="27"/>
      <c r="B368" s="28"/>
      <c r="C368" s="9"/>
      <c r="D368" s="60"/>
      <c r="E368" s="60"/>
      <c r="F368" s="28"/>
    </row>
    <row r="369">
      <c r="A369" s="27"/>
      <c r="B369" s="28"/>
      <c r="C369" s="9"/>
      <c r="D369" s="60"/>
      <c r="E369" s="60"/>
      <c r="F369" s="28"/>
    </row>
    <row r="370">
      <c r="A370" s="27"/>
      <c r="B370" s="28"/>
      <c r="C370" s="9"/>
      <c r="D370" s="60"/>
      <c r="E370" s="60"/>
      <c r="F370" s="28"/>
    </row>
    <row r="371">
      <c r="A371" s="27"/>
      <c r="B371" s="28"/>
      <c r="C371" s="9"/>
      <c r="D371" s="60"/>
      <c r="E371" s="60"/>
      <c r="F371" s="28"/>
    </row>
    <row r="372">
      <c r="A372" s="27"/>
      <c r="B372" s="28"/>
      <c r="C372" s="9"/>
      <c r="D372" s="60"/>
      <c r="E372" s="60"/>
      <c r="F372" s="28"/>
    </row>
    <row r="373">
      <c r="A373" s="27"/>
      <c r="B373" s="28"/>
      <c r="C373" s="9"/>
      <c r="D373" s="60"/>
      <c r="E373" s="60"/>
      <c r="F373" s="28"/>
    </row>
    <row r="374">
      <c r="A374" s="27"/>
      <c r="B374" s="28"/>
      <c r="C374" s="9"/>
      <c r="D374" s="60"/>
      <c r="E374" s="60"/>
      <c r="F374" s="28"/>
    </row>
    <row r="375">
      <c r="A375" s="27"/>
      <c r="B375" s="28"/>
      <c r="C375" s="9"/>
      <c r="D375" s="60"/>
      <c r="E375" s="60"/>
      <c r="F375" s="28"/>
    </row>
    <row r="376">
      <c r="A376" s="27"/>
      <c r="B376" s="28"/>
      <c r="C376" s="9"/>
      <c r="D376" s="60"/>
      <c r="E376" s="60"/>
      <c r="F376" s="28"/>
    </row>
    <row r="377">
      <c r="A377" s="27"/>
      <c r="B377" s="28"/>
      <c r="C377" s="9"/>
      <c r="D377" s="60"/>
      <c r="E377" s="60"/>
      <c r="F377" s="28"/>
    </row>
    <row r="378">
      <c r="A378" s="27"/>
      <c r="B378" s="28"/>
      <c r="C378" s="9"/>
      <c r="D378" s="60"/>
      <c r="E378" s="60"/>
      <c r="F378" s="28"/>
    </row>
    <row r="379">
      <c r="A379" s="27"/>
      <c r="B379" s="28"/>
      <c r="C379" s="9"/>
      <c r="D379" s="60"/>
      <c r="E379" s="60"/>
      <c r="F379" s="28"/>
    </row>
    <row r="380">
      <c r="A380" s="27"/>
      <c r="B380" s="28"/>
      <c r="C380" s="9"/>
      <c r="D380" s="60"/>
      <c r="E380" s="60"/>
      <c r="F380" s="28"/>
    </row>
    <row r="381">
      <c r="A381" s="27"/>
      <c r="B381" s="28"/>
      <c r="C381" s="9"/>
      <c r="D381" s="60"/>
      <c r="E381" s="60"/>
      <c r="F381" s="28"/>
    </row>
    <row r="382">
      <c r="A382" s="27"/>
      <c r="B382" s="28"/>
      <c r="C382" s="9"/>
      <c r="D382" s="60"/>
      <c r="E382" s="60"/>
      <c r="F382" s="28"/>
    </row>
    <row r="383">
      <c r="A383" s="27"/>
      <c r="B383" s="28"/>
      <c r="C383" s="9"/>
      <c r="D383" s="60"/>
      <c r="E383" s="60"/>
      <c r="F383" s="28"/>
    </row>
    <row r="384">
      <c r="A384" s="27"/>
      <c r="B384" s="28"/>
      <c r="C384" s="9"/>
      <c r="D384" s="60"/>
      <c r="E384" s="60"/>
      <c r="F384" s="28"/>
    </row>
    <row r="385">
      <c r="A385" s="27"/>
      <c r="B385" s="28"/>
      <c r="C385" s="9"/>
      <c r="D385" s="60"/>
      <c r="E385" s="60"/>
      <c r="F385" s="28"/>
    </row>
    <row r="386">
      <c r="A386" s="27"/>
      <c r="B386" s="28"/>
      <c r="C386" s="9"/>
      <c r="D386" s="60"/>
      <c r="E386" s="60"/>
      <c r="F386" s="28"/>
    </row>
    <row r="387">
      <c r="A387" s="27"/>
      <c r="B387" s="28"/>
      <c r="C387" s="9"/>
      <c r="D387" s="60"/>
      <c r="E387" s="60"/>
      <c r="F387" s="28"/>
    </row>
    <row r="388">
      <c r="A388" s="27"/>
      <c r="B388" s="28"/>
      <c r="C388" s="9"/>
      <c r="D388" s="60"/>
      <c r="E388" s="60"/>
      <c r="F388" s="28"/>
    </row>
    <row r="389">
      <c r="A389" s="27"/>
      <c r="B389" s="28"/>
      <c r="C389" s="9"/>
      <c r="D389" s="60"/>
      <c r="E389" s="60"/>
      <c r="F389" s="28"/>
    </row>
    <row r="390">
      <c r="A390" s="27"/>
      <c r="B390" s="28"/>
      <c r="C390" s="9"/>
      <c r="D390" s="60"/>
      <c r="E390" s="60"/>
      <c r="F390" s="28"/>
    </row>
    <row r="391">
      <c r="A391" s="27"/>
      <c r="B391" s="28"/>
      <c r="C391" s="9"/>
      <c r="D391" s="60"/>
      <c r="E391" s="60"/>
      <c r="F391" s="28"/>
    </row>
    <row r="392">
      <c r="A392" s="27"/>
      <c r="B392" s="28"/>
      <c r="C392" s="9"/>
      <c r="D392" s="60"/>
      <c r="E392" s="60"/>
      <c r="F392" s="28"/>
    </row>
    <row r="393">
      <c r="A393" s="27"/>
      <c r="B393" s="28"/>
      <c r="C393" s="9"/>
      <c r="D393" s="60"/>
      <c r="E393" s="60"/>
      <c r="F393" s="28"/>
    </row>
    <row r="394">
      <c r="A394" s="27"/>
      <c r="B394" s="28"/>
      <c r="C394" s="9"/>
      <c r="D394" s="60"/>
      <c r="E394" s="60"/>
      <c r="F394" s="28"/>
    </row>
    <row r="395">
      <c r="A395" s="27"/>
      <c r="B395" s="28"/>
      <c r="C395" s="9"/>
      <c r="D395" s="60"/>
      <c r="E395" s="60"/>
      <c r="F395" s="28"/>
    </row>
    <row r="396">
      <c r="A396" s="27"/>
      <c r="B396" s="28"/>
      <c r="C396" s="9"/>
      <c r="D396" s="60"/>
      <c r="E396" s="60"/>
      <c r="F396" s="28"/>
    </row>
    <row r="397">
      <c r="A397" s="27"/>
      <c r="B397" s="28"/>
      <c r="C397" s="9"/>
      <c r="D397" s="60"/>
      <c r="E397" s="60"/>
      <c r="F397" s="28"/>
    </row>
    <row r="398">
      <c r="A398" s="27"/>
      <c r="B398" s="28"/>
      <c r="C398" s="9"/>
      <c r="D398" s="60"/>
      <c r="E398" s="60"/>
      <c r="F398" s="28"/>
    </row>
    <row r="399">
      <c r="A399" s="27"/>
      <c r="B399" s="28"/>
      <c r="C399" s="9"/>
      <c r="D399" s="60"/>
      <c r="E399" s="60"/>
      <c r="F399" s="28"/>
    </row>
    <row r="400">
      <c r="A400" s="27"/>
      <c r="B400" s="28"/>
      <c r="C400" s="9"/>
      <c r="D400" s="60"/>
      <c r="E400" s="60"/>
      <c r="F400" s="28"/>
    </row>
    <row r="401">
      <c r="A401" s="27"/>
      <c r="B401" s="28"/>
      <c r="C401" s="9"/>
      <c r="D401" s="60"/>
      <c r="E401" s="60"/>
      <c r="F401" s="28"/>
    </row>
    <row r="402">
      <c r="A402" s="27"/>
      <c r="B402" s="28"/>
      <c r="C402" s="9"/>
      <c r="D402" s="60"/>
      <c r="E402" s="60"/>
      <c r="F402" s="28"/>
    </row>
    <row r="403">
      <c r="A403" s="27"/>
      <c r="B403" s="28"/>
      <c r="C403" s="9"/>
      <c r="D403" s="60"/>
      <c r="E403" s="60"/>
      <c r="F403" s="28"/>
    </row>
    <row r="404">
      <c r="A404" s="27"/>
      <c r="B404" s="28"/>
      <c r="C404" s="9"/>
      <c r="D404" s="60"/>
      <c r="E404" s="60"/>
      <c r="F404" s="28"/>
    </row>
    <row r="405">
      <c r="A405" s="27"/>
      <c r="B405" s="28"/>
      <c r="C405" s="9"/>
      <c r="D405" s="60"/>
      <c r="E405" s="60"/>
      <c r="F405" s="28"/>
    </row>
    <row r="406">
      <c r="A406" s="27"/>
      <c r="B406" s="28"/>
      <c r="C406" s="9"/>
      <c r="D406" s="60"/>
      <c r="E406" s="60"/>
      <c r="F406" s="28"/>
    </row>
    <row r="407">
      <c r="A407" s="27"/>
      <c r="B407" s="28"/>
      <c r="C407" s="9"/>
      <c r="D407" s="60"/>
      <c r="E407" s="60"/>
      <c r="F407" s="28"/>
    </row>
    <row r="408">
      <c r="A408" s="27"/>
      <c r="B408" s="28"/>
      <c r="C408" s="9"/>
      <c r="D408" s="60"/>
      <c r="E408" s="60"/>
      <c r="F408" s="28"/>
    </row>
    <row r="409">
      <c r="A409" s="27"/>
      <c r="B409" s="28"/>
      <c r="C409" s="9"/>
      <c r="D409" s="60"/>
      <c r="E409" s="60"/>
      <c r="F409" s="28"/>
    </row>
    <row r="410">
      <c r="A410" s="27"/>
      <c r="B410" s="28"/>
      <c r="C410" s="9"/>
      <c r="D410" s="60"/>
      <c r="E410" s="60"/>
      <c r="F410" s="28"/>
    </row>
    <row r="411">
      <c r="A411" s="27"/>
      <c r="B411" s="28"/>
      <c r="C411" s="9"/>
      <c r="D411" s="60"/>
      <c r="E411" s="60"/>
      <c r="F411" s="28"/>
    </row>
    <row r="412">
      <c r="A412" s="27"/>
      <c r="B412" s="28"/>
      <c r="C412" s="9"/>
      <c r="D412" s="60"/>
      <c r="E412" s="60"/>
      <c r="F412" s="28"/>
    </row>
    <row r="413">
      <c r="A413" s="27"/>
      <c r="B413" s="28"/>
      <c r="C413" s="9"/>
      <c r="D413" s="60"/>
      <c r="E413" s="60"/>
      <c r="F413" s="28"/>
    </row>
    <row r="414">
      <c r="A414" s="27"/>
      <c r="B414" s="28"/>
      <c r="C414" s="9"/>
      <c r="D414" s="60"/>
      <c r="E414" s="60"/>
      <c r="F414" s="28"/>
    </row>
    <row r="415">
      <c r="A415" s="27"/>
      <c r="B415" s="28"/>
      <c r="C415" s="9"/>
      <c r="D415" s="60"/>
      <c r="E415" s="60"/>
      <c r="F415" s="28"/>
    </row>
    <row r="416">
      <c r="A416" s="27"/>
      <c r="B416" s="28"/>
      <c r="C416" s="9"/>
      <c r="D416" s="60"/>
      <c r="E416" s="60"/>
      <c r="F416" s="28"/>
    </row>
    <row r="417">
      <c r="A417" s="27"/>
      <c r="B417" s="28"/>
      <c r="C417" s="9"/>
      <c r="D417" s="60"/>
      <c r="E417" s="60"/>
      <c r="F417" s="28"/>
    </row>
    <row r="418">
      <c r="A418" s="27"/>
      <c r="B418" s="28"/>
      <c r="C418" s="9"/>
      <c r="D418" s="60"/>
      <c r="E418" s="60"/>
      <c r="F418" s="28"/>
    </row>
    <row r="419">
      <c r="A419" s="27"/>
      <c r="B419" s="28"/>
      <c r="C419" s="9"/>
      <c r="D419" s="60"/>
      <c r="E419" s="60"/>
      <c r="F419" s="28"/>
    </row>
    <row r="420">
      <c r="A420" s="27"/>
      <c r="B420" s="28"/>
      <c r="C420" s="9"/>
      <c r="D420" s="60"/>
      <c r="E420" s="60"/>
      <c r="F420" s="28"/>
    </row>
    <row r="421">
      <c r="A421" s="27"/>
      <c r="B421" s="28"/>
      <c r="C421" s="9"/>
      <c r="D421" s="60"/>
      <c r="E421" s="60"/>
      <c r="F421" s="28"/>
    </row>
    <row r="422">
      <c r="A422" s="27"/>
      <c r="B422" s="28"/>
      <c r="C422" s="9"/>
      <c r="D422" s="60"/>
      <c r="E422" s="60"/>
      <c r="F422" s="28"/>
    </row>
    <row r="423">
      <c r="A423" s="27"/>
      <c r="B423" s="28"/>
      <c r="C423" s="9"/>
      <c r="D423" s="60"/>
      <c r="E423" s="60"/>
      <c r="F423" s="28"/>
    </row>
    <row r="424">
      <c r="A424" s="27"/>
      <c r="B424" s="28"/>
      <c r="C424" s="9"/>
      <c r="D424" s="60"/>
      <c r="E424" s="60"/>
      <c r="F424" s="28"/>
    </row>
    <row r="425">
      <c r="A425" s="27"/>
      <c r="B425" s="28"/>
      <c r="C425" s="9"/>
      <c r="D425" s="60"/>
      <c r="E425" s="60"/>
      <c r="F425" s="28"/>
    </row>
    <row r="426">
      <c r="A426" s="27"/>
      <c r="B426" s="28"/>
      <c r="C426" s="9"/>
      <c r="D426" s="60"/>
      <c r="E426" s="60"/>
      <c r="F426" s="28"/>
    </row>
    <row r="427">
      <c r="A427" s="27"/>
      <c r="B427" s="28"/>
      <c r="C427" s="9"/>
      <c r="D427" s="60"/>
      <c r="E427" s="60"/>
      <c r="F427" s="28"/>
    </row>
    <row r="428">
      <c r="A428" s="27"/>
      <c r="B428" s="28"/>
      <c r="C428" s="9"/>
      <c r="D428" s="60"/>
      <c r="E428" s="60"/>
      <c r="F428" s="28"/>
    </row>
    <row r="429">
      <c r="A429" s="27"/>
      <c r="B429" s="28"/>
      <c r="C429" s="9"/>
      <c r="D429" s="60"/>
      <c r="E429" s="60"/>
      <c r="F429" s="28"/>
    </row>
    <row r="430">
      <c r="A430" s="27"/>
      <c r="B430" s="28"/>
      <c r="C430" s="9"/>
      <c r="D430" s="60"/>
      <c r="E430" s="60"/>
      <c r="F430" s="28"/>
    </row>
    <row r="431">
      <c r="A431" s="27"/>
      <c r="B431" s="28"/>
      <c r="C431" s="9"/>
      <c r="D431" s="60"/>
      <c r="E431" s="60"/>
      <c r="F431" s="28"/>
    </row>
    <row r="432">
      <c r="A432" s="27"/>
      <c r="B432" s="28"/>
      <c r="C432" s="9"/>
      <c r="D432" s="60"/>
      <c r="E432" s="60"/>
      <c r="F432" s="28"/>
    </row>
    <row r="433">
      <c r="A433" s="27"/>
      <c r="B433" s="28"/>
      <c r="C433" s="9"/>
      <c r="D433" s="60"/>
      <c r="E433" s="60"/>
      <c r="F433" s="28"/>
    </row>
    <row r="434">
      <c r="A434" s="27"/>
      <c r="B434" s="28"/>
      <c r="C434" s="9"/>
      <c r="D434" s="60"/>
      <c r="E434" s="60"/>
      <c r="F434" s="28"/>
    </row>
    <row r="435">
      <c r="A435" s="27"/>
      <c r="B435" s="28"/>
      <c r="C435" s="9"/>
      <c r="D435" s="60"/>
      <c r="E435" s="60"/>
      <c r="F435" s="28"/>
    </row>
    <row r="436">
      <c r="A436" s="27"/>
      <c r="B436" s="28"/>
      <c r="C436" s="9"/>
      <c r="D436" s="60"/>
      <c r="E436" s="60"/>
      <c r="F436" s="28"/>
    </row>
    <row r="437">
      <c r="A437" s="27"/>
      <c r="B437" s="28"/>
      <c r="C437" s="9"/>
      <c r="D437" s="60"/>
      <c r="E437" s="60"/>
      <c r="F437" s="28"/>
    </row>
    <row r="438">
      <c r="A438" s="27"/>
      <c r="B438" s="28"/>
      <c r="C438" s="9"/>
      <c r="D438" s="60"/>
      <c r="E438" s="60"/>
      <c r="F438" s="28"/>
    </row>
    <row r="439">
      <c r="A439" s="27"/>
      <c r="B439" s="28"/>
      <c r="C439" s="9"/>
      <c r="D439" s="60"/>
      <c r="E439" s="60"/>
      <c r="F439" s="28"/>
    </row>
    <row r="440">
      <c r="A440" s="27"/>
      <c r="B440" s="28"/>
      <c r="C440" s="9"/>
      <c r="D440" s="60"/>
      <c r="E440" s="60"/>
      <c r="F440" s="28"/>
    </row>
    <row r="441">
      <c r="A441" s="27"/>
      <c r="B441" s="28"/>
      <c r="C441" s="9"/>
      <c r="D441" s="60"/>
      <c r="E441" s="60"/>
      <c r="F441" s="28"/>
    </row>
    <row r="442">
      <c r="A442" s="27"/>
      <c r="B442" s="28"/>
      <c r="C442" s="9"/>
      <c r="D442" s="60"/>
      <c r="E442" s="60"/>
      <c r="F442" s="28"/>
    </row>
    <row r="443">
      <c r="A443" s="27"/>
      <c r="B443" s="28"/>
      <c r="C443" s="9"/>
      <c r="D443" s="60"/>
      <c r="E443" s="60"/>
      <c r="F443" s="28"/>
    </row>
    <row r="444">
      <c r="A444" s="27"/>
      <c r="B444" s="28"/>
      <c r="C444" s="9"/>
      <c r="D444" s="60"/>
      <c r="E444" s="60"/>
      <c r="F444" s="28"/>
    </row>
    <row r="445">
      <c r="A445" s="27"/>
      <c r="B445" s="28"/>
      <c r="C445" s="9"/>
      <c r="D445" s="60"/>
      <c r="E445" s="60"/>
      <c r="F445" s="28"/>
    </row>
    <row r="446">
      <c r="A446" s="27"/>
      <c r="B446" s="28"/>
      <c r="C446" s="9"/>
      <c r="D446" s="60"/>
      <c r="E446" s="60"/>
      <c r="F446" s="28"/>
    </row>
    <row r="447">
      <c r="A447" s="27"/>
      <c r="B447" s="28"/>
      <c r="C447" s="9"/>
      <c r="D447" s="60"/>
      <c r="E447" s="60"/>
      <c r="F447" s="28"/>
    </row>
    <row r="448">
      <c r="A448" s="27"/>
      <c r="B448" s="28"/>
      <c r="C448" s="9"/>
      <c r="D448" s="60"/>
      <c r="E448" s="60"/>
      <c r="F448" s="28"/>
    </row>
    <row r="449">
      <c r="A449" s="27"/>
      <c r="B449" s="28"/>
      <c r="C449" s="9"/>
      <c r="D449" s="60"/>
      <c r="E449" s="60"/>
      <c r="F449" s="28"/>
    </row>
    <row r="450">
      <c r="A450" s="27"/>
      <c r="B450" s="28"/>
      <c r="C450" s="9"/>
      <c r="D450" s="60"/>
      <c r="E450" s="60"/>
      <c r="F450" s="28"/>
    </row>
    <row r="451">
      <c r="A451" s="27"/>
      <c r="B451" s="28"/>
      <c r="C451" s="9"/>
      <c r="D451" s="60"/>
      <c r="E451" s="60"/>
      <c r="F451" s="28"/>
    </row>
    <row r="452">
      <c r="A452" s="27"/>
      <c r="B452" s="28"/>
      <c r="C452" s="9"/>
      <c r="D452" s="60"/>
      <c r="E452" s="60"/>
      <c r="F452" s="28"/>
    </row>
    <row r="453">
      <c r="A453" s="27"/>
      <c r="B453" s="28"/>
      <c r="C453" s="9"/>
      <c r="D453" s="60"/>
      <c r="E453" s="60"/>
      <c r="F453" s="28"/>
    </row>
    <row r="454">
      <c r="A454" s="27"/>
      <c r="B454" s="28"/>
      <c r="C454" s="9"/>
      <c r="D454" s="60"/>
      <c r="E454" s="60"/>
      <c r="F454" s="28"/>
    </row>
    <row r="455">
      <c r="A455" s="27"/>
      <c r="B455" s="28"/>
      <c r="C455" s="9"/>
      <c r="D455" s="60"/>
      <c r="E455" s="60"/>
      <c r="F455" s="28"/>
    </row>
    <row r="456">
      <c r="A456" s="27"/>
      <c r="B456" s="28"/>
      <c r="C456" s="9"/>
      <c r="D456" s="60"/>
      <c r="E456" s="60"/>
      <c r="F456" s="28"/>
    </row>
    <row r="457">
      <c r="A457" s="27"/>
      <c r="B457" s="28"/>
      <c r="C457" s="9"/>
      <c r="D457" s="60"/>
      <c r="E457" s="60"/>
      <c r="F457" s="28"/>
    </row>
    <row r="458">
      <c r="A458" s="27"/>
      <c r="B458" s="28"/>
      <c r="C458" s="9"/>
      <c r="D458" s="60"/>
      <c r="E458" s="60"/>
      <c r="F458" s="28"/>
    </row>
    <row r="459">
      <c r="A459" s="27"/>
      <c r="B459" s="28"/>
      <c r="C459" s="9"/>
      <c r="D459" s="60"/>
      <c r="E459" s="60"/>
      <c r="F459" s="28"/>
    </row>
    <row r="460">
      <c r="A460" s="27"/>
      <c r="B460" s="28"/>
      <c r="C460" s="9"/>
      <c r="D460" s="60"/>
      <c r="E460" s="60"/>
      <c r="F460" s="28"/>
    </row>
    <row r="461">
      <c r="A461" s="27"/>
      <c r="B461" s="28"/>
      <c r="C461" s="9"/>
      <c r="D461" s="60"/>
      <c r="E461" s="60"/>
      <c r="F461" s="28"/>
    </row>
    <row r="462">
      <c r="A462" s="27"/>
      <c r="B462" s="28"/>
      <c r="C462" s="9"/>
      <c r="D462" s="60"/>
      <c r="E462" s="60"/>
      <c r="F462" s="28"/>
    </row>
    <row r="463">
      <c r="A463" s="27"/>
      <c r="B463" s="28"/>
      <c r="C463" s="9"/>
      <c r="D463" s="60"/>
      <c r="E463" s="60"/>
      <c r="F463" s="28"/>
    </row>
    <row r="464">
      <c r="A464" s="27"/>
      <c r="B464" s="28"/>
      <c r="C464" s="9"/>
      <c r="D464" s="60"/>
      <c r="E464" s="60"/>
      <c r="F464" s="28"/>
    </row>
    <row r="465">
      <c r="A465" s="27"/>
      <c r="B465" s="28"/>
      <c r="C465" s="9"/>
      <c r="D465" s="60"/>
      <c r="E465" s="60"/>
      <c r="F465" s="28"/>
    </row>
    <row r="466">
      <c r="A466" s="27"/>
      <c r="B466" s="28"/>
      <c r="C466" s="9"/>
      <c r="D466" s="60"/>
      <c r="E466" s="60"/>
      <c r="F466" s="28"/>
    </row>
    <row r="467">
      <c r="A467" s="27"/>
      <c r="B467" s="28"/>
      <c r="C467" s="9"/>
      <c r="D467" s="60"/>
      <c r="E467" s="60"/>
      <c r="F467" s="28"/>
    </row>
    <row r="468">
      <c r="A468" s="27"/>
      <c r="B468" s="28"/>
      <c r="C468" s="9"/>
      <c r="D468" s="60"/>
      <c r="E468" s="60"/>
      <c r="F468" s="28"/>
    </row>
    <row r="469">
      <c r="A469" s="27"/>
      <c r="B469" s="28"/>
      <c r="C469" s="9"/>
      <c r="D469" s="60"/>
      <c r="E469" s="60"/>
      <c r="F469" s="28"/>
    </row>
    <row r="470">
      <c r="A470" s="27"/>
      <c r="B470" s="28"/>
      <c r="C470" s="9"/>
      <c r="D470" s="60"/>
      <c r="E470" s="60"/>
      <c r="F470" s="28"/>
    </row>
    <row r="471">
      <c r="A471" s="27"/>
      <c r="B471" s="28"/>
      <c r="C471" s="9"/>
      <c r="D471" s="60"/>
      <c r="E471" s="60"/>
      <c r="F471" s="28"/>
    </row>
    <row r="472">
      <c r="A472" s="27"/>
      <c r="B472" s="28"/>
      <c r="C472" s="9"/>
      <c r="D472" s="60"/>
      <c r="E472" s="60"/>
      <c r="F472" s="28"/>
    </row>
    <row r="473">
      <c r="A473" s="27"/>
      <c r="B473" s="28"/>
      <c r="C473" s="9"/>
      <c r="D473" s="60"/>
      <c r="E473" s="60"/>
      <c r="F473" s="28"/>
    </row>
    <row r="474">
      <c r="A474" s="27"/>
      <c r="B474" s="28"/>
      <c r="C474" s="9"/>
      <c r="D474" s="60"/>
      <c r="E474" s="60"/>
      <c r="F474" s="28"/>
    </row>
    <row r="475">
      <c r="A475" s="27"/>
      <c r="B475" s="28"/>
      <c r="C475" s="9"/>
      <c r="D475" s="60"/>
      <c r="E475" s="60"/>
      <c r="F475" s="28"/>
    </row>
    <row r="476">
      <c r="A476" s="27"/>
      <c r="B476" s="28"/>
      <c r="C476" s="9"/>
      <c r="D476" s="60"/>
      <c r="E476" s="60"/>
      <c r="F476" s="28"/>
    </row>
    <row r="477">
      <c r="A477" s="27"/>
      <c r="B477" s="28"/>
      <c r="C477" s="9"/>
      <c r="D477" s="60"/>
      <c r="E477" s="60"/>
      <c r="F477" s="28"/>
    </row>
    <row r="478">
      <c r="A478" s="27"/>
      <c r="B478" s="28"/>
      <c r="C478" s="9"/>
      <c r="D478" s="60"/>
      <c r="E478" s="60"/>
      <c r="F478" s="28"/>
    </row>
    <row r="479">
      <c r="A479" s="27"/>
      <c r="B479" s="28"/>
      <c r="C479" s="9"/>
      <c r="D479" s="60"/>
      <c r="E479" s="60"/>
      <c r="F479" s="28"/>
    </row>
    <row r="480">
      <c r="A480" s="27"/>
      <c r="B480" s="28"/>
      <c r="C480" s="9"/>
      <c r="D480" s="60"/>
      <c r="E480" s="60"/>
      <c r="F480" s="28"/>
    </row>
    <row r="481">
      <c r="A481" s="27"/>
      <c r="B481" s="28"/>
      <c r="C481" s="9"/>
      <c r="D481" s="60"/>
      <c r="E481" s="60"/>
      <c r="F481" s="28"/>
    </row>
    <row r="482">
      <c r="A482" s="27"/>
      <c r="B482" s="28"/>
      <c r="C482" s="9"/>
      <c r="D482" s="60"/>
      <c r="E482" s="60"/>
      <c r="F482" s="28"/>
    </row>
    <row r="483">
      <c r="A483" s="27"/>
      <c r="B483" s="28"/>
      <c r="C483" s="9"/>
      <c r="D483" s="60"/>
      <c r="E483" s="60"/>
      <c r="F483" s="28"/>
    </row>
    <row r="484">
      <c r="A484" s="27"/>
      <c r="B484" s="28"/>
      <c r="C484" s="9"/>
      <c r="D484" s="60"/>
      <c r="E484" s="60"/>
      <c r="F484" s="28"/>
    </row>
    <row r="485">
      <c r="A485" s="27"/>
      <c r="B485" s="28"/>
      <c r="C485" s="9"/>
      <c r="D485" s="60"/>
      <c r="E485" s="60"/>
      <c r="F485" s="28"/>
    </row>
    <row r="486">
      <c r="A486" s="27"/>
      <c r="B486" s="28"/>
      <c r="C486" s="9"/>
      <c r="D486" s="60"/>
      <c r="E486" s="60"/>
      <c r="F486" s="28"/>
    </row>
    <row r="487">
      <c r="A487" s="27"/>
      <c r="B487" s="28"/>
      <c r="C487" s="9"/>
      <c r="D487" s="60"/>
      <c r="E487" s="60"/>
      <c r="F487" s="28"/>
    </row>
    <row r="488">
      <c r="A488" s="27"/>
      <c r="B488" s="28"/>
      <c r="C488" s="9"/>
      <c r="D488" s="60"/>
      <c r="E488" s="60"/>
      <c r="F488" s="28"/>
    </row>
    <row r="489">
      <c r="A489" s="27"/>
      <c r="B489" s="28"/>
      <c r="C489" s="9"/>
      <c r="D489" s="60"/>
      <c r="E489" s="60"/>
      <c r="F489" s="28"/>
    </row>
    <row r="490">
      <c r="A490" s="27"/>
      <c r="B490" s="28"/>
      <c r="C490" s="9"/>
      <c r="D490" s="60"/>
      <c r="E490" s="60"/>
      <c r="F490" s="28"/>
    </row>
    <row r="491">
      <c r="A491" s="27"/>
      <c r="B491" s="28"/>
      <c r="C491" s="9"/>
      <c r="D491" s="60"/>
      <c r="E491" s="60"/>
      <c r="F491" s="28"/>
    </row>
    <row r="492">
      <c r="A492" s="27"/>
      <c r="B492" s="28"/>
      <c r="C492" s="9"/>
      <c r="D492" s="60"/>
      <c r="E492" s="60"/>
      <c r="F492" s="28"/>
    </row>
    <row r="493">
      <c r="A493" s="27"/>
      <c r="B493" s="28"/>
      <c r="C493" s="9"/>
      <c r="D493" s="60"/>
      <c r="E493" s="60"/>
      <c r="F493" s="28"/>
    </row>
    <row r="494">
      <c r="A494" s="27"/>
      <c r="B494" s="28"/>
      <c r="C494" s="9"/>
      <c r="D494" s="60"/>
      <c r="E494" s="60"/>
      <c r="F494" s="28"/>
    </row>
    <row r="495">
      <c r="A495" s="27"/>
      <c r="B495" s="28"/>
      <c r="C495" s="9"/>
      <c r="D495" s="60"/>
      <c r="E495" s="60"/>
      <c r="F495" s="28"/>
    </row>
    <row r="496">
      <c r="A496" s="27"/>
      <c r="B496" s="28"/>
      <c r="C496" s="9"/>
      <c r="D496" s="60"/>
      <c r="E496" s="60"/>
      <c r="F496" s="28"/>
    </row>
    <row r="497">
      <c r="A497" s="27"/>
      <c r="B497" s="28"/>
      <c r="C497" s="9"/>
      <c r="D497" s="60"/>
      <c r="E497" s="60"/>
      <c r="F497" s="28"/>
    </row>
    <row r="498">
      <c r="A498" s="27"/>
      <c r="B498" s="28"/>
      <c r="C498" s="9"/>
      <c r="D498" s="60"/>
      <c r="E498" s="60"/>
      <c r="F498" s="28"/>
    </row>
    <row r="499">
      <c r="A499" s="27"/>
      <c r="B499" s="28"/>
      <c r="C499" s="9"/>
      <c r="D499" s="60"/>
      <c r="E499" s="60"/>
      <c r="F499" s="28"/>
    </row>
    <row r="500">
      <c r="A500" s="27"/>
      <c r="B500" s="28"/>
      <c r="C500" s="9"/>
      <c r="D500" s="60"/>
      <c r="E500" s="60"/>
      <c r="F500" s="28"/>
    </row>
    <row r="501">
      <c r="A501" s="27"/>
      <c r="B501" s="28"/>
      <c r="C501" s="9"/>
      <c r="D501" s="60"/>
      <c r="E501" s="60"/>
      <c r="F501" s="28"/>
    </row>
    <row r="502">
      <c r="A502" s="27"/>
      <c r="B502" s="28"/>
      <c r="C502" s="9"/>
      <c r="D502" s="60"/>
      <c r="E502" s="60"/>
      <c r="F502" s="28"/>
    </row>
    <row r="503">
      <c r="A503" s="27"/>
      <c r="B503" s="28"/>
      <c r="C503" s="9"/>
      <c r="D503" s="60"/>
      <c r="E503" s="60"/>
      <c r="F503" s="28"/>
    </row>
    <row r="504">
      <c r="A504" s="27"/>
      <c r="B504" s="28"/>
      <c r="C504" s="9"/>
      <c r="D504" s="60"/>
      <c r="E504" s="60"/>
      <c r="F504" s="28"/>
    </row>
    <row r="505">
      <c r="A505" s="27"/>
      <c r="B505" s="28"/>
      <c r="C505" s="9"/>
      <c r="D505" s="60"/>
      <c r="E505" s="60"/>
      <c r="F505" s="28"/>
    </row>
    <row r="506">
      <c r="A506" s="27"/>
      <c r="B506" s="28"/>
      <c r="C506" s="9"/>
      <c r="D506" s="60"/>
      <c r="E506" s="60"/>
      <c r="F506" s="28"/>
    </row>
    <row r="507">
      <c r="A507" s="27"/>
      <c r="B507" s="28"/>
      <c r="C507" s="9"/>
      <c r="D507" s="60"/>
      <c r="E507" s="60"/>
      <c r="F507" s="28"/>
    </row>
    <row r="508">
      <c r="A508" s="27"/>
      <c r="B508" s="28"/>
      <c r="C508" s="9"/>
      <c r="D508" s="60"/>
      <c r="E508" s="60"/>
      <c r="F508" s="28"/>
    </row>
    <row r="509">
      <c r="A509" s="27"/>
      <c r="B509" s="28"/>
      <c r="C509" s="9"/>
      <c r="D509" s="60"/>
      <c r="E509" s="60"/>
      <c r="F509" s="28"/>
    </row>
    <row r="510">
      <c r="A510" s="27"/>
      <c r="B510" s="28"/>
      <c r="C510" s="9"/>
      <c r="D510" s="60"/>
      <c r="E510" s="60"/>
      <c r="F510" s="28"/>
    </row>
    <row r="511">
      <c r="A511" s="27"/>
      <c r="B511" s="28"/>
      <c r="C511" s="9"/>
      <c r="D511" s="60"/>
      <c r="E511" s="60"/>
      <c r="F511" s="28"/>
    </row>
    <row r="512">
      <c r="A512" s="27"/>
      <c r="B512" s="28"/>
      <c r="C512" s="9"/>
      <c r="D512" s="60"/>
      <c r="E512" s="60"/>
      <c r="F512" s="28"/>
    </row>
    <row r="513">
      <c r="A513" s="27"/>
      <c r="B513" s="28"/>
      <c r="C513" s="9"/>
      <c r="D513" s="60"/>
      <c r="E513" s="60"/>
      <c r="F513" s="28"/>
    </row>
    <row r="514">
      <c r="A514" s="27"/>
      <c r="B514" s="28"/>
      <c r="C514" s="9"/>
      <c r="D514" s="60"/>
      <c r="E514" s="60"/>
      <c r="F514" s="28"/>
    </row>
    <row r="515">
      <c r="A515" s="27"/>
      <c r="B515" s="28"/>
      <c r="C515" s="9"/>
      <c r="D515" s="60"/>
      <c r="E515" s="60"/>
      <c r="F515" s="28"/>
    </row>
    <row r="516">
      <c r="A516" s="27"/>
      <c r="B516" s="28"/>
      <c r="C516" s="9"/>
      <c r="D516" s="60"/>
      <c r="E516" s="60"/>
      <c r="F516" s="28"/>
    </row>
    <row r="517">
      <c r="A517" s="27"/>
      <c r="B517" s="28"/>
      <c r="C517" s="9"/>
      <c r="D517" s="60"/>
      <c r="E517" s="60"/>
      <c r="F517" s="28"/>
    </row>
    <row r="518">
      <c r="A518" s="27"/>
      <c r="B518" s="28"/>
      <c r="C518" s="9"/>
      <c r="D518" s="60"/>
      <c r="E518" s="60"/>
      <c r="F518" s="28"/>
    </row>
    <row r="519">
      <c r="A519" s="27"/>
      <c r="B519" s="28"/>
      <c r="C519" s="9"/>
      <c r="D519" s="60"/>
      <c r="E519" s="60"/>
      <c r="F519" s="28"/>
    </row>
    <row r="520">
      <c r="A520" s="27"/>
      <c r="B520" s="28"/>
      <c r="C520" s="9"/>
      <c r="D520" s="60"/>
      <c r="E520" s="60"/>
      <c r="F520" s="28"/>
    </row>
    <row r="521">
      <c r="A521" s="27"/>
      <c r="B521" s="28"/>
      <c r="C521" s="9"/>
      <c r="D521" s="60"/>
      <c r="E521" s="60"/>
      <c r="F521" s="28"/>
    </row>
    <row r="522">
      <c r="A522" s="27"/>
      <c r="B522" s="28"/>
      <c r="C522" s="9"/>
      <c r="D522" s="60"/>
      <c r="E522" s="60"/>
      <c r="F522" s="28"/>
    </row>
    <row r="523">
      <c r="A523" s="27"/>
      <c r="B523" s="28"/>
      <c r="C523" s="9"/>
      <c r="D523" s="60"/>
      <c r="E523" s="60"/>
      <c r="F523" s="28"/>
    </row>
    <row r="524">
      <c r="A524" s="27"/>
      <c r="B524" s="28"/>
      <c r="C524" s="9"/>
      <c r="D524" s="60"/>
      <c r="E524" s="60"/>
      <c r="F524" s="28"/>
    </row>
    <row r="525">
      <c r="A525" s="27"/>
      <c r="B525" s="28"/>
      <c r="C525" s="9"/>
      <c r="D525" s="60"/>
      <c r="E525" s="60"/>
      <c r="F525" s="28"/>
    </row>
    <row r="526">
      <c r="A526" s="27"/>
      <c r="B526" s="28"/>
      <c r="C526" s="9"/>
      <c r="D526" s="60"/>
      <c r="E526" s="60"/>
      <c r="F526" s="28"/>
    </row>
    <row r="527">
      <c r="A527" s="27"/>
      <c r="B527" s="28"/>
      <c r="C527" s="9"/>
      <c r="D527" s="60"/>
      <c r="E527" s="60"/>
      <c r="F527" s="28"/>
    </row>
    <row r="528">
      <c r="A528" s="27"/>
      <c r="B528" s="28"/>
      <c r="C528" s="9"/>
      <c r="D528" s="60"/>
      <c r="E528" s="60"/>
      <c r="F528" s="28"/>
    </row>
    <row r="529">
      <c r="A529" s="27"/>
      <c r="B529" s="28"/>
      <c r="C529" s="9"/>
      <c r="D529" s="60"/>
      <c r="E529" s="60"/>
      <c r="F529" s="28"/>
    </row>
    <row r="530">
      <c r="A530" s="27"/>
      <c r="B530" s="28"/>
      <c r="C530" s="9"/>
      <c r="D530" s="60"/>
      <c r="E530" s="60"/>
      <c r="F530" s="28"/>
    </row>
    <row r="531">
      <c r="A531" s="27"/>
      <c r="B531" s="28"/>
      <c r="C531" s="9"/>
      <c r="D531" s="60"/>
      <c r="E531" s="60"/>
      <c r="F531" s="28"/>
    </row>
    <row r="532">
      <c r="A532" s="27"/>
      <c r="B532" s="28"/>
      <c r="C532" s="9"/>
      <c r="D532" s="60"/>
      <c r="E532" s="60"/>
      <c r="F532" s="28"/>
    </row>
    <row r="533">
      <c r="A533" s="27"/>
      <c r="B533" s="28"/>
      <c r="C533" s="9"/>
      <c r="D533" s="60"/>
      <c r="E533" s="60"/>
      <c r="F533" s="28"/>
    </row>
    <row r="534">
      <c r="A534" s="27"/>
      <c r="B534" s="28"/>
      <c r="C534" s="9"/>
      <c r="D534" s="60"/>
      <c r="E534" s="60"/>
      <c r="F534" s="28"/>
    </row>
    <row r="535">
      <c r="A535" s="27"/>
      <c r="B535" s="28"/>
      <c r="C535" s="9"/>
      <c r="D535" s="60"/>
      <c r="E535" s="60"/>
      <c r="F535" s="28"/>
    </row>
    <row r="536">
      <c r="A536" s="27"/>
      <c r="B536" s="28"/>
      <c r="C536" s="9"/>
      <c r="D536" s="60"/>
      <c r="E536" s="60"/>
      <c r="F536" s="28"/>
    </row>
    <row r="537">
      <c r="A537" s="27"/>
      <c r="B537" s="28"/>
      <c r="C537" s="9"/>
      <c r="D537" s="60"/>
      <c r="E537" s="60"/>
      <c r="F537" s="28"/>
    </row>
    <row r="538">
      <c r="A538" s="27"/>
      <c r="B538" s="28"/>
      <c r="C538" s="9"/>
      <c r="D538" s="60"/>
      <c r="E538" s="60"/>
      <c r="F538" s="28"/>
    </row>
    <row r="539">
      <c r="A539" s="27"/>
      <c r="B539" s="28"/>
      <c r="C539" s="9"/>
      <c r="D539" s="60"/>
      <c r="E539" s="60"/>
      <c r="F539" s="28"/>
    </row>
    <row r="540">
      <c r="A540" s="27"/>
      <c r="B540" s="28"/>
      <c r="C540" s="9"/>
      <c r="D540" s="60"/>
      <c r="E540" s="60"/>
      <c r="F540" s="28"/>
    </row>
    <row r="541">
      <c r="A541" s="27"/>
      <c r="B541" s="28"/>
      <c r="C541" s="9"/>
      <c r="D541" s="60"/>
      <c r="E541" s="60"/>
      <c r="F541" s="28"/>
    </row>
    <row r="542">
      <c r="A542" s="27"/>
      <c r="B542" s="28"/>
      <c r="C542" s="9"/>
      <c r="D542" s="60"/>
      <c r="E542" s="60"/>
      <c r="F542" s="28"/>
    </row>
    <row r="543">
      <c r="A543" s="27"/>
      <c r="B543" s="28"/>
      <c r="C543" s="9"/>
      <c r="D543" s="60"/>
      <c r="E543" s="60"/>
      <c r="F543" s="28"/>
    </row>
    <row r="544">
      <c r="A544" s="27"/>
      <c r="B544" s="28"/>
      <c r="C544" s="9"/>
      <c r="D544" s="60"/>
      <c r="E544" s="60"/>
      <c r="F544" s="28"/>
    </row>
    <row r="545">
      <c r="A545" s="27"/>
      <c r="B545" s="28"/>
      <c r="C545" s="9"/>
      <c r="D545" s="60"/>
      <c r="E545" s="60"/>
      <c r="F545" s="28"/>
    </row>
    <row r="546">
      <c r="A546" s="27"/>
      <c r="B546" s="28"/>
      <c r="C546" s="9"/>
      <c r="D546" s="60"/>
      <c r="E546" s="60"/>
      <c r="F546" s="28"/>
    </row>
    <row r="547">
      <c r="A547" s="27"/>
      <c r="B547" s="28"/>
      <c r="C547" s="9"/>
      <c r="D547" s="60"/>
      <c r="E547" s="60"/>
      <c r="F547" s="28"/>
    </row>
    <row r="548">
      <c r="A548" s="27"/>
      <c r="B548" s="28"/>
      <c r="C548" s="9"/>
      <c r="D548" s="60"/>
      <c r="E548" s="60"/>
      <c r="F548" s="28"/>
    </row>
    <row r="549">
      <c r="A549" s="27"/>
      <c r="B549" s="28"/>
      <c r="C549" s="9"/>
      <c r="D549" s="60"/>
      <c r="E549" s="60"/>
      <c r="F549" s="28"/>
    </row>
    <row r="550">
      <c r="A550" s="27"/>
      <c r="B550" s="28"/>
      <c r="C550" s="9"/>
      <c r="D550" s="60"/>
      <c r="E550" s="60"/>
      <c r="F550" s="28"/>
    </row>
    <row r="551">
      <c r="A551" s="27"/>
      <c r="B551" s="28"/>
      <c r="C551" s="9"/>
      <c r="D551" s="60"/>
      <c r="E551" s="60"/>
      <c r="F551" s="28"/>
    </row>
    <row r="552">
      <c r="A552" s="27"/>
      <c r="B552" s="28"/>
      <c r="C552" s="9"/>
      <c r="D552" s="60"/>
      <c r="E552" s="60"/>
      <c r="F552" s="28"/>
    </row>
    <row r="553">
      <c r="A553" s="27"/>
      <c r="B553" s="28"/>
      <c r="C553" s="9"/>
      <c r="D553" s="60"/>
      <c r="E553" s="60"/>
      <c r="F553" s="28"/>
    </row>
    <row r="554">
      <c r="A554" s="27"/>
      <c r="B554" s="28"/>
      <c r="C554" s="9"/>
      <c r="D554" s="60"/>
      <c r="E554" s="60"/>
      <c r="F554" s="28"/>
    </row>
    <row r="555">
      <c r="A555" s="27"/>
      <c r="B555" s="28"/>
      <c r="C555" s="9"/>
      <c r="D555" s="60"/>
      <c r="E555" s="60"/>
      <c r="F555" s="28"/>
    </row>
    <row r="556">
      <c r="A556" s="27"/>
      <c r="B556" s="28"/>
      <c r="C556" s="9"/>
      <c r="D556" s="60"/>
      <c r="E556" s="60"/>
      <c r="F556" s="28"/>
    </row>
    <row r="557">
      <c r="A557" s="27"/>
      <c r="B557" s="28"/>
      <c r="C557" s="9"/>
      <c r="D557" s="60"/>
      <c r="E557" s="60"/>
      <c r="F557" s="28"/>
    </row>
    <row r="558">
      <c r="A558" s="27"/>
      <c r="B558" s="28"/>
      <c r="C558" s="9"/>
      <c r="D558" s="60"/>
      <c r="E558" s="60"/>
      <c r="F558" s="28"/>
    </row>
    <row r="559">
      <c r="A559" s="27"/>
      <c r="B559" s="28"/>
      <c r="C559" s="9"/>
      <c r="D559" s="60"/>
      <c r="E559" s="60"/>
      <c r="F559" s="28"/>
    </row>
    <row r="560">
      <c r="A560" s="27"/>
      <c r="B560" s="28"/>
      <c r="C560" s="9"/>
      <c r="D560" s="60"/>
      <c r="E560" s="60"/>
      <c r="F560" s="28"/>
    </row>
    <row r="561">
      <c r="A561" s="27"/>
      <c r="B561" s="28"/>
      <c r="C561" s="9"/>
      <c r="D561" s="60"/>
      <c r="E561" s="60"/>
      <c r="F561" s="28"/>
    </row>
    <row r="562">
      <c r="A562" s="27"/>
      <c r="B562" s="28"/>
      <c r="C562" s="9"/>
      <c r="D562" s="60"/>
      <c r="E562" s="60"/>
      <c r="F562" s="28"/>
    </row>
    <row r="563">
      <c r="A563" s="27"/>
      <c r="B563" s="28"/>
      <c r="C563" s="9"/>
      <c r="D563" s="60"/>
      <c r="E563" s="60"/>
      <c r="F563" s="28"/>
    </row>
    <row r="564">
      <c r="A564" s="27"/>
      <c r="B564" s="28"/>
      <c r="C564" s="9"/>
      <c r="D564" s="60"/>
      <c r="E564" s="60"/>
      <c r="F564" s="28"/>
    </row>
    <row r="565">
      <c r="A565" s="27"/>
      <c r="B565" s="28"/>
      <c r="C565" s="9"/>
      <c r="D565" s="60"/>
      <c r="E565" s="60"/>
      <c r="F565" s="28"/>
    </row>
    <row r="566">
      <c r="A566" s="27"/>
      <c r="B566" s="28"/>
      <c r="C566" s="9"/>
      <c r="D566" s="60"/>
      <c r="E566" s="60"/>
      <c r="F566" s="28"/>
    </row>
    <row r="567">
      <c r="A567" s="27"/>
      <c r="B567" s="28"/>
      <c r="C567" s="9"/>
      <c r="D567" s="60"/>
      <c r="E567" s="60"/>
      <c r="F567" s="28"/>
    </row>
    <row r="568">
      <c r="A568" s="27"/>
      <c r="B568" s="28"/>
      <c r="C568" s="9"/>
      <c r="D568" s="60"/>
      <c r="E568" s="60"/>
      <c r="F568" s="28"/>
    </row>
    <row r="569">
      <c r="A569" s="27"/>
      <c r="B569" s="28"/>
      <c r="C569" s="9"/>
      <c r="D569" s="60"/>
      <c r="E569" s="60"/>
      <c r="F569" s="28"/>
    </row>
    <row r="570">
      <c r="A570" s="27"/>
      <c r="B570" s="28"/>
      <c r="C570" s="9"/>
      <c r="D570" s="60"/>
      <c r="E570" s="60"/>
      <c r="F570" s="28"/>
    </row>
    <row r="571">
      <c r="A571" s="27"/>
      <c r="B571" s="28"/>
      <c r="C571" s="9"/>
      <c r="D571" s="60"/>
      <c r="E571" s="60"/>
      <c r="F571" s="28"/>
    </row>
    <row r="572">
      <c r="A572" s="27"/>
      <c r="B572" s="28"/>
      <c r="C572" s="9"/>
      <c r="D572" s="60"/>
      <c r="E572" s="60"/>
      <c r="F572" s="28"/>
    </row>
    <row r="573">
      <c r="A573" s="27"/>
      <c r="B573" s="28"/>
      <c r="C573" s="9"/>
      <c r="D573" s="60"/>
      <c r="E573" s="60"/>
      <c r="F573" s="28"/>
    </row>
    <row r="574">
      <c r="A574" s="27"/>
      <c r="B574" s="28"/>
      <c r="C574" s="9"/>
      <c r="D574" s="60"/>
      <c r="E574" s="60"/>
      <c r="F574" s="28"/>
    </row>
    <row r="575">
      <c r="A575" s="27"/>
      <c r="B575" s="28"/>
      <c r="C575" s="9"/>
      <c r="D575" s="60"/>
      <c r="E575" s="60"/>
      <c r="F575" s="28"/>
    </row>
    <row r="576">
      <c r="A576" s="27"/>
      <c r="B576" s="28"/>
      <c r="C576" s="9"/>
      <c r="D576" s="60"/>
      <c r="E576" s="60"/>
      <c r="F576" s="28"/>
    </row>
    <row r="577">
      <c r="A577" s="27"/>
      <c r="B577" s="28"/>
      <c r="C577" s="9"/>
      <c r="D577" s="60"/>
      <c r="E577" s="60"/>
      <c r="F577" s="28"/>
    </row>
    <row r="578">
      <c r="A578" s="27"/>
      <c r="B578" s="28"/>
      <c r="C578" s="9"/>
      <c r="D578" s="60"/>
      <c r="E578" s="60"/>
      <c r="F578" s="28"/>
    </row>
    <row r="579">
      <c r="A579" s="27"/>
      <c r="B579" s="28"/>
      <c r="C579" s="9"/>
      <c r="D579" s="60"/>
      <c r="E579" s="60"/>
      <c r="F579" s="28"/>
    </row>
    <row r="580">
      <c r="A580" s="27"/>
      <c r="B580" s="28"/>
      <c r="C580" s="9"/>
      <c r="D580" s="60"/>
      <c r="E580" s="60"/>
      <c r="F580" s="28"/>
    </row>
    <row r="581">
      <c r="A581" s="27"/>
      <c r="B581" s="28"/>
      <c r="C581" s="9"/>
      <c r="D581" s="60"/>
      <c r="E581" s="60"/>
      <c r="F581" s="28"/>
    </row>
    <row r="582">
      <c r="A582" s="27"/>
      <c r="B582" s="28"/>
      <c r="C582" s="9"/>
      <c r="D582" s="60"/>
      <c r="E582" s="60"/>
      <c r="F582" s="28"/>
    </row>
    <row r="583">
      <c r="A583" s="27"/>
      <c r="B583" s="28"/>
      <c r="C583" s="9"/>
      <c r="D583" s="60"/>
      <c r="E583" s="60"/>
      <c r="F583" s="28"/>
    </row>
    <row r="584">
      <c r="A584" s="27"/>
      <c r="B584" s="28"/>
      <c r="C584" s="9"/>
      <c r="D584" s="60"/>
      <c r="E584" s="60"/>
      <c r="F584" s="28"/>
    </row>
    <row r="585">
      <c r="A585" s="27"/>
      <c r="B585" s="28"/>
      <c r="C585" s="9"/>
      <c r="D585" s="60"/>
      <c r="E585" s="60"/>
      <c r="F585" s="28"/>
    </row>
    <row r="586">
      <c r="A586" s="27"/>
      <c r="B586" s="28"/>
      <c r="C586" s="9"/>
      <c r="D586" s="60"/>
      <c r="E586" s="60"/>
      <c r="F586" s="28"/>
    </row>
    <row r="587">
      <c r="A587" s="27"/>
      <c r="B587" s="28"/>
      <c r="C587" s="9"/>
      <c r="D587" s="60"/>
      <c r="E587" s="60"/>
      <c r="F587" s="28"/>
    </row>
    <row r="588">
      <c r="A588" s="27"/>
      <c r="B588" s="28"/>
      <c r="C588" s="9"/>
      <c r="D588" s="60"/>
      <c r="E588" s="60"/>
      <c r="F588" s="28"/>
    </row>
    <row r="589">
      <c r="A589" s="27"/>
      <c r="B589" s="28"/>
      <c r="C589" s="9"/>
      <c r="D589" s="60"/>
      <c r="E589" s="60"/>
      <c r="F589" s="28"/>
    </row>
    <row r="590">
      <c r="A590" s="27"/>
      <c r="B590" s="28"/>
      <c r="C590" s="9"/>
      <c r="D590" s="60"/>
      <c r="E590" s="60"/>
      <c r="F590" s="28"/>
    </row>
    <row r="591">
      <c r="A591" s="27"/>
      <c r="B591" s="28"/>
      <c r="C591" s="9"/>
      <c r="D591" s="60"/>
      <c r="E591" s="60"/>
      <c r="F591" s="28"/>
    </row>
    <row r="592">
      <c r="A592" s="27"/>
      <c r="B592" s="28"/>
      <c r="C592" s="9"/>
      <c r="D592" s="60"/>
      <c r="E592" s="60"/>
      <c r="F592" s="28"/>
    </row>
    <row r="593">
      <c r="A593" s="27"/>
      <c r="B593" s="28"/>
      <c r="C593" s="9"/>
      <c r="D593" s="60"/>
      <c r="E593" s="60"/>
      <c r="F593" s="28"/>
    </row>
    <row r="594">
      <c r="A594" s="27"/>
      <c r="B594" s="28"/>
      <c r="C594" s="9"/>
      <c r="D594" s="60"/>
      <c r="E594" s="60"/>
      <c r="F594" s="28"/>
    </row>
    <row r="595">
      <c r="A595" s="27"/>
      <c r="B595" s="28"/>
      <c r="C595" s="9"/>
      <c r="D595" s="60"/>
      <c r="E595" s="60"/>
      <c r="F595" s="28"/>
    </row>
    <row r="596">
      <c r="A596" s="27"/>
      <c r="B596" s="28"/>
      <c r="C596" s="9"/>
      <c r="D596" s="60"/>
      <c r="E596" s="60"/>
      <c r="F596" s="28"/>
    </row>
    <row r="597">
      <c r="A597" s="27"/>
      <c r="B597" s="28"/>
      <c r="C597" s="9"/>
      <c r="D597" s="60"/>
      <c r="E597" s="60"/>
      <c r="F597" s="28"/>
    </row>
    <row r="598">
      <c r="A598" s="27"/>
      <c r="B598" s="28"/>
      <c r="C598" s="9"/>
      <c r="D598" s="60"/>
      <c r="E598" s="60"/>
      <c r="F598" s="28"/>
    </row>
    <row r="599">
      <c r="A599" s="27"/>
      <c r="B599" s="28"/>
      <c r="C599" s="9"/>
      <c r="D599" s="60"/>
      <c r="E599" s="60"/>
      <c r="F599" s="28"/>
    </row>
    <row r="600">
      <c r="A600" s="27"/>
      <c r="B600" s="28"/>
      <c r="C600" s="9"/>
      <c r="D600" s="60"/>
      <c r="E600" s="60"/>
      <c r="F600" s="28"/>
    </row>
    <row r="601">
      <c r="A601" s="27"/>
      <c r="B601" s="28"/>
      <c r="C601" s="9"/>
      <c r="D601" s="60"/>
      <c r="E601" s="60"/>
      <c r="F601" s="28"/>
    </row>
    <row r="602">
      <c r="A602" s="27"/>
      <c r="B602" s="28"/>
      <c r="C602" s="9"/>
      <c r="D602" s="60"/>
      <c r="E602" s="60"/>
      <c r="F602" s="28"/>
    </row>
    <row r="603">
      <c r="A603" s="27"/>
      <c r="B603" s="28"/>
      <c r="C603" s="9"/>
      <c r="D603" s="60"/>
      <c r="E603" s="60"/>
      <c r="F603" s="28"/>
    </row>
    <row r="604">
      <c r="A604" s="27"/>
      <c r="B604" s="28"/>
      <c r="C604" s="9"/>
      <c r="D604" s="60"/>
      <c r="E604" s="60"/>
      <c r="F604" s="28"/>
    </row>
    <row r="605">
      <c r="A605" s="27"/>
      <c r="B605" s="28"/>
      <c r="C605" s="9"/>
      <c r="D605" s="60"/>
      <c r="E605" s="60"/>
      <c r="F605" s="28"/>
    </row>
    <row r="606">
      <c r="A606" s="27"/>
      <c r="B606" s="28"/>
      <c r="C606" s="9"/>
      <c r="D606" s="60"/>
      <c r="E606" s="60"/>
      <c r="F606" s="28"/>
    </row>
    <row r="607">
      <c r="A607" s="27"/>
      <c r="B607" s="28"/>
      <c r="C607" s="9"/>
      <c r="D607" s="60"/>
      <c r="E607" s="60"/>
      <c r="F607" s="28"/>
    </row>
    <row r="608">
      <c r="A608" s="27"/>
      <c r="B608" s="28"/>
      <c r="C608" s="9"/>
      <c r="D608" s="60"/>
      <c r="E608" s="60"/>
      <c r="F608" s="28"/>
    </row>
    <row r="609">
      <c r="A609" s="27"/>
      <c r="B609" s="28"/>
      <c r="C609" s="9"/>
      <c r="D609" s="60"/>
      <c r="E609" s="60"/>
      <c r="F609" s="28"/>
    </row>
    <row r="610">
      <c r="A610" s="27"/>
      <c r="B610" s="28"/>
      <c r="C610" s="9"/>
      <c r="D610" s="60"/>
      <c r="E610" s="60"/>
      <c r="F610" s="28"/>
    </row>
    <row r="611">
      <c r="A611" s="27"/>
      <c r="B611" s="28"/>
      <c r="C611" s="9"/>
      <c r="D611" s="60"/>
      <c r="E611" s="60"/>
      <c r="F611" s="28"/>
    </row>
    <row r="612">
      <c r="A612" s="27"/>
      <c r="B612" s="28"/>
      <c r="C612" s="9"/>
      <c r="D612" s="60"/>
      <c r="E612" s="60"/>
      <c r="F612" s="28"/>
    </row>
    <row r="613">
      <c r="A613" s="27"/>
      <c r="B613" s="28"/>
      <c r="C613" s="9"/>
      <c r="D613" s="60"/>
      <c r="E613" s="60"/>
      <c r="F613" s="28"/>
    </row>
    <row r="614">
      <c r="A614" s="27"/>
      <c r="B614" s="28"/>
      <c r="C614" s="9"/>
      <c r="D614" s="60"/>
      <c r="E614" s="60"/>
      <c r="F614" s="28"/>
    </row>
    <row r="615">
      <c r="A615" s="27"/>
      <c r="B615" s="28"/>
      <c r="C615" s="9"/>
      <c r="D615" s="60"/>
      <c r="E615" s="60"/>
      <c r="F615" s="28"/>
    </row>
    <row r="616">
      <c r="A616" s="27"/>
      <c r="B616" s="28"/>
      <c r="C616" s="9"/>
      <c r="D616" s="60"/>
      <c r="E616" s="60"/>
      <c r="F616" s="28"/>
    </row>
    <row r="617">
      <c r="A617" s="27"/>
      <c r="B617" s="28"/>
      <c r="C617" s="9"/>
      <c r="D617" s="60"/>
      <c r="E617" s="60"/>
      <c r="F617" s="28"/>
    </row>
    <row r="618">
      <c r="A618" s="27"/>
      <c r="B618" s="28"/>
      <c r="C618" s="9"/>
      <c r="D618" s="60"/>
      <c r="E618" s="60"/>
      <c r="F618" s="28"/>
    </row>
    <row r="619">
      <c r="A619" s="27"/>
      <c r="B619" s="28"/>
      <c r="C619" s="9"/>
      <c r="D619" s="60"/>
      <c r="E619" s="60"/>
      <c r="F619" s="28"/>
    </row>
    <row r="620">
      <c r="A620" s="27"/>
      <c r="B620" s="28"/>
      <c r="C620" s="9"/>
      <c r="D620" s="60"/>
      <c r="E620" s="60"/>
      <c r="F620" s="28"/>
    </row>
    <row r="621">
      <c r="A621" s="27"/>
      <c r="B621" s="28"/>
      <c r="C621" s="9"/>
      <c r="D621" s="60"/>
      <c r="E621" s="60"/>
      <c r="F621" s="28"/>
    </row>
    <row r="622">
      <c r="A622" s="27"/>
      <c r="B622" s="28"/>
      <c r="C622" s="9"/>
      <c r="D622" s="60"/>
      <c r="E622" s="60"/>
      <c r="F622" s="28"/>
    </row>
    <row r="623">
      <c r="A623" s="27"/>
      <c r="B623" s="28"/>
      <c r="C623" s="9"/>
      <c r="D623" s="60"/>
      <c r="E623" s="60"/>
      <c r="F623" s="28"/>
    </row>
    <row r="624">
      <c r="A624" s="27"/>
      <c r="B624" s="28"/>
      <c r="C624" s="9"/>
      <c r="D624" s="60"/>
      <c r="E624" s="60"/>
      <c r="F624" s="28"/>
    </row>
    <row r="625">
      <c r="A625" s="27"/>
      <c r="B625" s="28"/>
      <c r="C625" s="9"/>
      <c r="D625" s="60"/>
      <c r="E625" s="60"/>
      <c r="F625" s="28"/>
    </row>
    <row r="626">
      <c r="A626" s="27"/>
      <c r="B626" s="28"/>
      <c r="C626" s="9"/>
      <c r="D626" s="60"/>
      <c r="E626" s="60"/>
      <c r="F626" s="28"/>
    </row>
    <row r="627">
      <c r="A627" s="27"/>
      <c r="B627" s="28"/>
      <c r="C627" s="9"/>
      <c r="D627" s="60"/>
      <c r="E627" s="60"/>
      <c r="F627" s="28"/>
    </row>
    <row r="628">
      <c r="A628" s="27"/>
      <c r="B628" s="28"/>
      <c r="C628" s="9"/>
      <c r="D628" s="60"/>
      <c r="E628" s="60"/>
      <c r="F628" s="28"/>
    </row>
    <row r="629">
      <c r="A629" s="27"/>
      <c r="B629" s="28"/>
      <c r="C629" s="9"/>
      <c r="D629" s="60"/>
      <c r="E629" s="60"/>
      <c r="F629" s="28"/>
    </row>
    <row r="630">
      <c r="A630" s="27"/>
      <c r="B630" s="28"/>
      <c r="C630" s="9"/>
      <c r="D630" s="60"/>
      <c r="E630" s="60"/>
      <c r="F630" s="28"/>
    </row>
    <row r="631">
      <c r="A631" s="27"/>
      <c r="B631" s="28"/>
      <c r="C631" s="9"/>
      <c r="D631" s="60"/>
      <c r="E631" s="60"/>
      <c r="F631" s="28"/>
    </row>
    <row r="632">
      <c r="A632" s="27"/>
      <c r="B632" s="28"/>
      <c r="C632" s="9"/>
      <c r="D632" s="60"/>
      <c r="E632" s="60"/>
      <c r="F632" s="28"/>
    </row>
    <row r="633">
      <c r="A633" s="27"/>
      <c r="B633" s="28"/>
      <c r="C633" s="9"/>
      <c r="D633" s="60"/>
      <c r="E633" s="60"/>
      <c r="F633" s="28"/>
    </row>
    <row r="634">
      <c r="A634" s="27"/>
      <c r="B634" s="28"/>
      <c r="C634" s="9"/>
      <c r="D634" s="60"/>
      <c r="E634" s="60"/>
      <c r="F634" s="28"/>
    </row>
    <row r="635">
      <c r="A635" s="27"/>
      <c r="B635" s="28"/>
      <c r="C635" s="9"/>
      <c r="D635" s="60"/>
      <c r="E635" s="60"/>
      <c r="F635" s="28"/>
    </row>
    <row r="636">
      <c r="A636" s="27"/>
      <c r="B636" s="28"/>
      <c r="C636" s="9"/>
      <c r="D636" s="60"/>
      <c r="E636" s="60"/>
      <c r="F636" s="28"/>
    </row>
    <row r="637">
      <c r="A637" s="27"/>
      <c r="B637" s="28"/>
      <c r="C637" s="9"/>
      <c r="D637" s="60"/>
      <c r="E637" s="60"/>
      <c r="F637" s="28"/>
    </row>
    <row r="638">
      <c r="A638" s="27"/>
      <c r="B638" s="28"/>
      <c r="C638" s="9"/>
      <c r="D638" s="60"/>
      <c r="E638" s="60"/>
      <c r="F638" s="28"/>
    </row>
    <row r="639">
      <c r="A639" s="27"/>
      <c r="B639" s="28"/>
      <c r="C639" s="9"/>
      <c r="D639" s="60"/>
      <c r="E639" s="60"/>
      <c r="F639" s="28"/>
    </row>
    <row r="640">
      <c r="A640" s="27"/>
      <c r="B640" s="28"/>
      <c r="C640" s="9"/>
      <c r="D640" s="60"/>
      <c r="E640" s="60"/>
      <c r="F640" s="28"/>
    </row>
    <row r="641">
      <c r="A641" s="27"/>
      <c r="B641" s="28"/>
      <c r="C641" s="9"/>
      <c r="D641" s="60"/>
      <c r="E641" s="60"/>
      <c r="F641" s="28"/>
    </row>
    <row r="642">
      <c r="A642" s="27"/>
      <c r="B642" s="28"/>
      <c r="C642" s="9"/>
      <c r="D642" s="60"/>
      <c r="E642" s="60"/>
      <c r="F642" s="28"/>
    </row>
    <row r="643">
      <c r="A643" s="27"/>
      <c r="B643" s="28"/>
      <c r="C643" s="9"/>
      <c r="D643" s="60"/>
      <c r="E643" s="60"/>
      <c r="F643" s="28"/>
    </row>
    <row r="644">
      <c r="A644" s="27"/>
      <c r="B644" s="28"/>
      <c r="C644" s="9"/>
      <c r="D644" s="60"/>
      <c r="E644" s="60"/>
      <c r="F644" s="28"/>
    </row>
    <row r="645">
      <c r="A645" s="27"/>
      <c r="B645" s="28"/>
      <c r="C645" s="9"/>
      <c r="D645" s="60"/>
      <c r="E645" s="60"/>
      <c r="F645" s="28"/>
    </row>
    <row r="646">
      <c r="A646" s="27"/>
      <c r="B646" s="28"/>
      <c r="C646" s="9"/>
      <c r="D646" s="60"/>
      <c r="E646" s="60"/>
      <c r="F646" s="28"/>
    </row>
    <row r="647">
      <c r="A647" s="27"/>
      <c r="B647" s="28"/>
      <c r="C647" s="9"/>
      <c r="D647" s="60"/>
      <c r="E647" s="60"/>
      <c r="F647" s="28"/>
    </row>
    <row r="648">
      <c r="A648" s="27"/>
      <c r="B648" s="28"/>
      <c r="C648" s="9"/>
      <c r="D648" s="60"/>
      <c r="E648" s="60"/>
      <c r="F648" s="28"/>
    </row>
    <row r="649">
      <c r="A649" s="27"/>
      <c r="B649" s="28"/>
      <c r="C649" s="9"/>
      <c r="D649" s="60"/>
      <c r="E649" s="60"/>
      <c r="F649" s="28"/>
    </row>
    <row r="650">
      <c r="A650" s="27"/>
      <c r="B650" s="28"/>
      <c r="C650" s="9"/>
      <c r="D650" s="60"/>
      <c r="E650" s="60"/>
      <c r="F650" s="28"/>
    </row>
    <row r="651">
      <c r="A651" s="27"/>
      <c r="B651" s="28"/>
      <c r="C651" s="9"/>
      <c r="D651" s="60"/>
      <c r="E651" s="60"/>
      <c r="F651" s="28"/>
    </row>
    <row r="652">
      <c r="A652" s="27"/>
      <c r="B652" s="28"/>
      <c r="C652" s="9"/>
      <c r="D652" s="60"/>
      <c r="E652" s="60"/>
      <c r="F652" s="28"/>
    </row>
    <row r="653">
      <c r="A653" s="27"/>
      <c r="B653" s="28"/>
      <c r="C653" s="9"/>
      <c r="D653" s="60"/>
      <c r="E653" s="60"/>
      <c r="F653" s="28"/>
    </row>
    <row r="654">
      <c r="A654" s="27"/>
      <c r="B654" s="28"/>
      <c r="C654" s="9"/>
      <c r="D654" s="60"/>
      <c r="E654" s="60"/>
      <c r="F654" s="28"/>
    </row>
    <row r="655">
      <c r="A655" s="27"/>
      <c r="B655" s="28"/>
      <c r="C655" s="9"/>
      <c r="D655" s="60"/>
      <c r="E655" s="60"/>
      <c r="F655" s="28"/>
    </row>
    <row r="656">
      <c r="A656" s="27"/>
      <c r="B656" s="28"/>
      <c r="C656" s="9"/>
      <c r="D656" s="60"/>
      <c r="E656" s="60"/>
      <c r="F656" s="28"/>
    </row>
    <row r="657">
      <c r="A657" s="27"/>
      <c r="B657" s="28"/>
      <c r="C657" s="9"/>
      <c r="D657" s="60"/>
      <c r="E657" s="60"/>
      <c r="F657" s="28"/>
    </row>
    <row r="658">
      <c r="A658" s="27"/>
      <c r="B658" s="28"/>
      <c r="C658" s="9"/>
      <c r="D658" s="60"/>
      <c r="E658" s="60"/>
      <c r="F658" s="28"/>
    </row>
    <row r="659">
      <c r="A659" s="27"/>
      <c r="B659" s="28"/>
      <c r="C659" s="9"/>
      <c r="D659" s="60"/>
      <c r="E659" s="60"/>
      <c r="F659" s="28"/>
    </row>
    <row r="660">
      <c r="A660" s="27"/>
      <c r="B660" s="28"/>
      <c r="C660" s="9"/>
      <c r="D660" s="60"/>
      <c r="E660" s="60"/>
      <c r="F660" s="28"/>
    </row>
    <row r="661">
      <c r="A661" s="27"/>
      <c r="B661" s="28"/>
      <c r="C661" s="9"/>
      <c r="D661" s="60"/>
      <c r="E661" s="60"/>
      <c r="F661" s="28"/>
    </row>
    <row r="662">
      <c r="A662" s="27"/>
      <c r="B662" s="28"/>
      <c r="C662" s="9"/>
      <c r="D662" s="60"/>
      <c r="E662" s="60"/>
      <c r="F662" s="28"/>
    </row>
    <row r="663">
      <c r="A663" s="27"/>
      <c r="B663" s="28"/>
      <c r="C663" s="9"/>
      <c r="D663" s="60"/>
      <c r="E663" s="60"/>
      <c r="F663" s="28"/>
    </row>
    <row r="664">
      <c r="A664" s="27"/>
      <c r="B664" s="28"/>
      <c r="C664" s="9"/>
      <c r="D664" s="60"/>
      <c r="E664" s="60"/>
      <c r="F664" s="28"/>
    </row>
    <row r="665">
      <c r="A665" s="27"/>
      <c r="B665" s="28"/>
      <c r="C665" s="9"/>
      <c r="D665" s="60"/>
      <c r="E665" s="60"/>
      <c r="F665" s="28"/>
    </row>
    <row r="666">
      <c r="A666" s="27"/>
      <c r="B666" s="28"/>
      <c r="C666" s="9"/>
      <c r="D666" s="60"/>
      <c r="E666" s="60"/>
      <c r="F666" s="28"/>
    </row>
    <row r="667">
      <c r="A667" s="27"/>
      <c r="B667" s="28"/>
      <c r="C667" s="9"/>
      <c r="D667" s="60"/>
      <c r="E667" s="60"/>
      <c r="F667" s="28"/>
    </row>
    <row r="668">
      <c r="A668" s="27"/>
      <c r="B668" s="28"/>
      <c r="C668" s="9"/>
      <c r="D668" s="60"/>
      <c r="E668" s="60"/>
      <c r="F668" s="28"/>
    </row>
    <row r="669">
      <c r="A669" s="27"/>
      <c r="B669" s="28"/>
      <c r="C669" s="9"/>
      <c r="D669" s="60"/>
      <c r="E669" s="60"/>
      <c r="F669" s="28"/>
    </row>
    <row r="670">
      <c r="A670" s="27"/>
      <c r="B670" s="28"/>
      <c r="C670" s="9"/>
      <c r="D670" s="60"/>
      <c r="E670" s="60"/>
      <c r="F670" s="28"/>
    </row>
    <row r="671">
      <c r="A671" s="27"/>
      <c r="B671" s="28"/>
      <c r="C671" s="9"/>
      <c r="D671" s="60"/>
      <c r="E671" s="60"/>
      <c r="F671" s="28"/>
    </row>
    <row r="672">
      <c r="A672" s="27"/>
      <c r="B672" s="28"/>
      <c r="C672" s="9"/>
      <c r="D672" s="60"/>
      <c r="E672" s="60"/>
      <c r="F672" s="28"/>
    </row>
    <row r="673">
      <c r="A673" s="27"/>
      <c r="B673" s="28"/>
      <c r="C673" s="9"/>
      <c r="D673" s="60"/>
      <c r="E673" s="60"/>
      <c r="F673" s="28"/>
    </row>
    <row r="674">
      <c r="A674" s="27"/>
      <c r="B674" s="28"/>
      <c r="C674" s="9"/>
      <c r="D674" s="60"/>
      <c r="E674" s="60"/>
      <c r="F674" s="28"/>
    </row>
    <row r="675">
      <c r="A675" s="27"/>
      <c r="B675" s="28"/>
      <c r="C675" s="9"/>
      <c r="D675" s="60"/>
      <c r="E675" s="60"/>
      <c r="F675" s="28"/>
    </row>
    <row r="676">
      <c r="A676" s="27"/>
      <c r="B676" s="28"/>
      <c r="C676" s="9"/>
      <c r="D676" s="60"/>
      <c r="E676" s="60"/>
      <c r="F676" s="28"/>
    </row>
    <row r="677">
      <c r="A677" s="27"/>
      <c r="B677" s="28"/>
      <c r="C677" s="9"/>
      <c r="D677" s="60"/>
      <c r="E677" s="60"/>
      <c r="F677" s="28"/>
    </row>
    <row r="678">
      <c r="A678" s="27"/>
      <c r="B678" s="28"/>
      <c r="C678" s="9"/>
      <c r="D678" s="60"/>
      <c r="E678" s="60"/>
      <c r="F678" s="28"/>
    </row>
    <row r="679">
      <c r="A679" s="27"/>
      <c r="B679" s="28"/>
      <c r="C679" s="9"/>
      <c r="D679" s="60"/>
      <c r="E679" s="60"/>
      <c r="F679" s="28"/>
    </row>
    <row r="680">
      <c r="A680" s="27"/>
      <c r="B680" s="28"/>
      <c r="C680" s="9"/>
      <c r="D680" s="60"/>
      <c r="E680" s="60"/>
      <c r="F680" s="28"/>
    </row>
    <row r="681">
      <c r="A681" s="27"/>
      <c r="B681" s="28"/>
      <c r="C681" s="9"/>
      <c r="D681" s="60"/>
      <c r="E681" s="60"/>
      <c r="F681" s="28"/>
    </row>
    <row r="682">
      <c r="A682" s="27"/>
      <c r="B682" s="28"/>
      <c r="C682" s="9"/>
      <c r="D682" s="60"/>
      <c r="E682" s="60"/>
      <c r="F682" s="28"/>
    </row>
    <row r="683">
      <c r="A683" s="27"/>
      <c r="B683" s="28"/>
      <c r="C683" s="9"/>
      <c r="D683" s="60"/>
      <c r="E683" s="60"/>
      <c r="F683" s="28"/>
    </row>
    <row r="684">
      <c r="A684" s="27"/>
      <c r="B684" s="28"/>
      <c r="C684" s="9"/>
      <c r="D684" s="60"/>
      <c r="E684" s="60"/>
      <c r="F684" s="28"/>
    </row>
    <row r="685">
      <c r="A685" s="27"/>
      <c r="B685" s="28"/>
      <c r="C685" s="9"/>
      <c r="D685" s="60"/>
      <c r="E685" s="60"/>
      <c r="F685" s="28"/>
    </row>
    <row r="686">
      <c r="A686" s="27"/>
      <c r="B686" s="28"/>
      <c r="C686" s="9"/>
      <c r="D686" s="60"/>
      <c r="E686" s="60"/>
      <c r="F686" s="28"/>
    </row>
    <row r="687">
      <c r="A687" s="27"/>
      <c r="B687" s="28"/>
      <c r="C687" s="9"/>
      <c r="D687" s="60"/>
      <c r="E687" s="60"/>
      <c r="F687" s="28"/>
    </row>
    <row r="688">
      <c r="A688" s="27"/>
      <c r="B688" s="28"/>
      <c r="C688" s="9"/>
      <c r="D688" s="60"/>
      <c r="E688" s="60"/>
      <c r="F688" s="28"/>
    </row>
    <row r="689">
      <c r="A689" s="27"/>
      <c r="B689" s="28"/>
      <c r="C689" s="9"/>
      <c r="D689" s="60"/>
      <c r="E689" s="60"/>
      <c r="F689" s="28"/>
    </row>
    <row r="690">
      <c r="A690" s="27"/>
      <c r="B690" s="28"/>
      <c r="C690" s="9"/>
      <c r="D690" s="60"/>
      <c r="E690" s="60"/>
      <c r="F690" s="28"/>
    </row>
    <row r="691">
      <c r="A691" s="27"/>
      <c r="B691" s="28"/>
      <c r="C691" s="9"/>
      <c r="D691" s="60"/>
      <c r="E691" s="60"/>
      <c r="F691" s="28"/>
    </row>
    <row r="692">
      <c r="A692" s="27"/>
      <c r="B692" s="28"/>
      <c r="C692" s="9"/>
      <c r="D692" s="60"/>
      <c r="E692" s="60"/>
      <c r="F692" s="28"/>
    </row>
    <row r="693">
      <c r="A693" s="27"/>
      <c r="B693" s="28"/>
      <c r="C693" s="9"/>
      <c r="D693" s="60"/>
      <c r="E693" s="60"/>
      <c r="F693" s="28"/>
    </row>
    <row r="694">
      <c r="A694" s="27"/>
      <c r="B694" s="28"/>
      <c r="C694" s="9"/>
      <c r="D694" s="60"/>
      <c r="E694" s="60"/>
      <c r="F694" s="28"/>
    </row>
    <row r="695">
      <c r="A695" s="27"/>
      <c r="B695" s="28"/>
      <c r="C695" s="9"/>
      <c r="D695" s="60"/>
      <c r="E695" s="60"/>
      <c r="F695" s="28"/>
    </row>
    <row r="696">
      <c r="A696" s="27"/>
      <c r="B696" s="28"/>
      <c r="C696" s="9"/>
      <c r="D696" s="60"/>
      <c r="E696" s="60"/>
      <c r="F696" s="28"/>
    </row>
    <row r="697">
      <c r="A697" s="27"/>
      <c r="B697" s="28"/>
      <c r="C697" s="9"/>
      <c r="D697" s="60"/>
      <c r="E697" s="60"/>
      <c r="F697" s="28"/>
    </row>
    <row r="698">
      <c r="A698" s="27"/>
      <c r="B698" s="28"/>
      <c r="C698" s="9"/>
      <c r="D698" s="60"/>
      <c r="E698" s="60"/>
      <c r="F698" s="28"/>
    </row>
    <row r="699">
      <c r="A699" s="27"/>
      <c r="B699" s="28"/>
      <c r="C699" s="9"/>
      <c r="D699" s="60"/>
      <c r="E699" s="60"/>
      <c r="F699" s="28"/>
    </row>
    <row r="700">
      <c r="A700" s="27"/>
      <c r="B700" s="28"/>
      <c r="C700" s="9"/>
      <c r="D700" s="60"/>
      <c r="E700" s="60"/>
      <c r="F700" s="28"/>
    </row>
    <row r="701">
      <c r="A701" s="27"/>
      <c r="B701" s="28"/>
      <c r="C701" s="9"/>
      <c r="D701" s="60"/>
      <c r="E701" s="60"/>
      <c r="F701" s="28"/>
    </row>
    <row r="702">
      <c r="A702" s="27"/>
      <c r="B702" s="28"/>
      <c r="C702" s="9"/>
      <c r="D702" s="60"/>
      <c r="E702" s="60"/>
      <c r="F702" s="28"/>
    </row>
    <row r="703">
      <c r="A703" s="27"/>
      <c r="B703" s="28"/>
      <c r="C703" s="9"/>
      <c r="D703" s="60"/>
      <c r="E703" s="60"/>
      <c r="F703" s="28"/>
    </row>
    <row r="704">
      <c r="A704" s="27"/>
      <c r="B704" s="28"/>
      <c r="C704" s="9"/>
      <c r="D704" s="60"/>
      <c r="E704" s="60"/>
      <c r="F704" s="28"/>
    </row>
    <row r="705">
      <c r="A705" s="27"/>
      <c r="B705" s="28"/>
      <c r="C705" s="9"/>
      <c r="D705" s="60"/>
      <c r="E705" s="60"/>
      <c r="F705" s="28"/>
    </row>
    <row r="706">
      <c r="A706" s="27"/>
      <c r="B706" s="28"/>
      <c r="C706" s="9"/>
      <c r="D706" s="60"/>
      <c r="E706" s="60"/>
      <c r="F706" s="28"/>
    </row>
    <row r="707">
      <c r="A707" s="27"/>
      <c r="B707" s="28"/>
      <c r="C707" s="9"/>
      <c r="D707" s="60"/>
      <c r="E707" s="60"/>
      <c r="F707" s="28"/>
    </row>
    <row r="708">
      <c r="A708" s="27"/>
      <c r="B708" s="28"/>
      <c r="C708" s="9"/>
      <c r="D708" s="60"/>
      <c r="E708" s="60"/>
      <c r="F708" s="28"/>
    </row>
    <row r="709">
      <c r="A709" s="27"/>
      <c r="B709" s="28"/>
      <c r="C709" s="9"/>
      <c r="D709" s="60"/>
      <c r="E709" s="60"/>
      <c r="F709" s="28"/>
    </row>
    <row r="710">
      <c r="A710" s="27"/>
      <c r="B710" s="28"/>
      <c r="C710" s="9"/>
      <c r="D710" s="60"/>
      <c r="E710" s="60"/>
      <c r="F710" s="28"/>
    </row>
    <row r="711">
      <c r="A711" s="27"/>
      <c r="B711" s="28"/>
      <c r="C711" s="9"/>
      <c r="D711" s="60"/>
      <c r="E711" s="60"/>
      <c r="F711" s="28"/>
    </row>
    <row r="712">
      <c r="A712" s="27"/>
      <c r="B712" s="28"/>
      <c r="C712" s="9"/>
      <c r="D712" s="60"/>
      <c r="E712" s="60"/>
      <c r="F712" s="28"/>
    </row>
    <row r="713">
      <c r="A713" s="27"/>
      <c r="B713" s="28"/>
      <c r="C713" s="9"/>
      <c r="D713" s="60"/>
      <c r="E713" s="60"/>
      <c r="F713" s="28"/>
    </row>
    <row r="714">
      <c r="A714" s="27"/>
      <c r="B714" s="28"/>
      <c r="C714" s="9"/>
      <c r="D714" s="60"/>
      <c r="E714" s="60"/>
      <c r="F714" s="28"/>
    </row>
    <row r="715">
      <c r="A715" s="27"/>
      <c r="B715" s="28"/>
      <c r="C715" s="9"/>
      <c r="D715" s="60"/>
      <c r="E715" s="60"/>
      <c r="F715" s="28"/>
    </row>
    <row r="716">
      <c r="A716" s="27"/>
      <c r="B716" s="28"/>
      <c r="C716" s="9"/>
      <c r="D716" s="60"/>
      <c r="E716" s="60"/>
      <c r="F716" s="28"/>
    </row>
    <row r="717">
      <c r="A717" s="27"/>
      <c r="B717" s="28"/>
      <c r="C717" s="9"/>
      <c r="D717" s="60"/>
      <c r="E717" s="60"/>
      <c r="F717" s="28"/>
    </row>
    <row r="718">
      <c r="A718" s="27"/>
      <c r="B718" s="28"/>
      <c r="C718" s="9"/>
      <c r="D718" s="60"/>
      <c r="E718" s="60"/>
      <c r="F718" s="28"/>
    </row>
    <row r="719">
      <c r="A719" s="27"/>
      <c r="B719" s="28"/>
      <c r="C719" s="9"/>
      <c r="D719" s="60"/>
      <c r="E719" s="60"/>
      <c r="F719" s="28"/>
    </row>
    <row r="720">
      <c r="A720" s="27"/>
      <c r="B720" s="28"/>
      <c r="C720" s="9"/>
      <c r="D720" s="60"/>
      <c r="E720" s="60"/>
      <c r="F720" s="28"/>
    </row>
    <row r="721">
      <c r="A721" s="27"/>
      <c r="B721" s="28"/>
      <c r="C721" s="9"/>
      <c r="D721" s="60"/>
      <c r="E721" s="60"/>
      <c r="F721" s="28"/>
    </row>
    <row r="722">
      <c r="A722" s="27"/>
      <c r="B722" s="28"/>
      <c r="C722" s="9"/>
      <c r="D722" s="60"/>
      <c r="E722" s="60"/>
      <c r="F722" s="28"/>
    </row>
    <row r="723">
      <c r="A723" s="27"/>
      <c r="B723" s="28"/>
      <c r="C723" s="9"/>
      <c r="D723" s="60"/>
      <c r="E723" s="60"/>
      <c r="F723" s="28"/>
    </row>
    <row r="724">
      <c r="A724" s="27"/>
      <c r="B724" s="28"/>
      <c r="C724" s="9"/>
      <c r="D724" s="60"/>
      <c r="E724" s="60"/>
      <c r="F724" s="28"/>
    </row>
    <row r="725">
      <c r="A725" s="27"/>
      <c r="B725" s="28"/>
      <c r="C725" s="9"/>
      <c r="D725" s="60"/>
      <c r="E725" s="60"/>
      <c r="F725" s="28"/>
    </row>
    <row r="726">
      <c r="A726" s="27"/>
      <c r="B726" s="28"/>
      <c r="C726" s="9"/>
      <c r="D726" s="60"/>
      <c r="E726" s="60"/>
      <c r="F726" s="28"/>
    </row>
    <row r="727">
      <c r="A727" s="27"/>
      <c r="B727" s="28"/>
      <c r="C727" s="9"/>
      <c r="D727" s="60"/>
      <c r="E727" s="60"/>
      <c r="F727" s="28"/>
    </row>
    <row r="728">
      <c r="A728" s="27"/>
      <c r="B728" s="28"/>
      <c r="C728" s="9"/>
      <c r="D728" s="60"/>
      <c r="E728" s="60"/>
      <c r="F728" s="28"/>
    </row>
    <row r="729">
      <c r="A729" s="27"/>
      <c r="B729" s="28"/>
      <c r="C729" s="9"/>
      <c r="D729" s="60"/>
      <c r="E729" s="60"/>
      <c r="F729" s="28"/>
    </row>
    <row r="730">
      <c r="A730" s="27"/>
      <c r="B730" s="28"/>
      <c r="C730" s="9"/>
      <c r="D730" s="60"/>
      <c r="E730" s="60"/>
      <c r="F730" s="28"/>
    </row>
    <row r="731">
      <c r="A731" s="27"/>
      <c r="B731" s="28"/>
      <c r="C731" s="9"/>
      <c r="D731" s="60"/>
      <c r="E731" s="60"/>
      <c r="F731" s="28"/>
    </row>
    <row r="732">
      <c r="A732" s="27"/>
      <c r="B732" s="28"/>
      <c r="C732" s="9"/>
      <c r="D732" s="60"/>
      <c r="E732" s="60"/>
      <c r="F732" s="28"/>
    </row>
    <row r="733">
      <c r="A733" s="27"/>
      <c r="B733" s="28"/>
      <c r="C733" s="9"/>
      <c r="D733" s="60"/>
      <c r="E733" s="60"/>
      <c r="F733" s="28"/>
    </row>
    <row r="734">
      <c r="A734" s="27"/>
      <c r="B734" s="28"/>
      <c r="C734" s="9"/>
      <c r="D734" s="60"/>
      <c r="E734" s="60"/>
      <c r="F734" s="28"/>
    </row>
    <row r="735">
      <c r="A735" s="27"/>
      <c r="B735" s="28"/>
      <c r="C735" s="9"/>
      <c r="D735" s="60"/>
      <c r="E735" s="60"/>
      <c r="F735" s="28"/>
    </row>
    <row r="736">
      <c r="A736" s="27"/>
      <c r="B736" s="28"/>
      <c r="C736" s="9"/>
      <c r="D736" s="60"/>
      <c r="E736" s="60"/>
      <c r="F736" s="28"/>
    </row>
    <row r="737">
      <c r="A737" s="27"/>
      <c r="B737" s="28"/>
      <c r="C737" s="9"/>
      <c r="D737" s="60"/>
      <c r="E737" s="60"/>
      <c r="F737" s="28"/>
    </row>
    <row r="738">
      <c r="A738" s="27"/>
      <c r="B738" s="28"/>
      <c r="C738" s="9"/>
      <c r="D738" s="60"/>
      <c r="E738" s="60"/>
      <c r="F738" s="28"/>
    </row>
    <row r="739">
      <c r="A739" s="27"/>
      <c r="B739" s="28"/>
      <c r="C739" s="9"/>
      <c r="D739" s="60"/>
      <c r="E739" s="60"/>
      <c r="F739" s="28"/>
    </row>
    <row r="740">
      <c r="A740" s="27"/>
      <c r="B740" s="28"/>
      <c r="C740" s="9"/>
      <c r="D740" s="60"/>
      <c r="E740" s="60"/>
      <c r="F740" s="28"/>
    </row>
    <row r="741">
      <c r="A741" s="27"/>
      <c r="B741" s="28"/>
      <c r="C741" s="9"/>
      <c r="D741" s="60"/>
      <c r="E741" s="60"/>
      <c r="F741" s="28"/>
    </row>
    <row r="742">
      <c r="A742" s="27"/>
      <c r="B742" s="28"/>
      <c r="C742" s="9"/>
      <c r="D742" s="60"/>
      <c r="E742" s="60"/>
      <c r="F742" s="28"/>
    </row>
    <row r="743">
      <c r="A743" s="27"/>
      <c r="B743" s="28"/>
      <c r="C743" s="9"/>
      <c r="D743" s="60"/>
      <c r="E743" s="60"/>
      <c r="F743" s="28"/>
    </row>
    <row r="744">
      <c r="A744" s="27"/>
      <c r="B744" s="28"/>
      <c r="C744" s="9"/>
      <c r="D744" s="60"/>
      <c r="E744" s="60"/>
      <c r="F744" s="28"/>
    </row>
    <row r="745">
      <c r="A745" s="27"/>
      <c r="B745" s="28"/>
      <c r="C745" s="9"/>
      <c r="D745" s="60"/>
      <c r="E745" s="60"/>
      <c r="F745" s="28"/>
    </row>
    <row r="746">
      <c r="A746" s="27"/>
      <c r="B746" s="28"/>
      <c r="C746" s="9"/>
      <c r="D746" s="60"/>
      <c r="E746" s="60"/>
      <c r="F746" s="28"/>
    </row>
    <row r="747">
      <c r="A747" s="27"/>
      <c r="B747" s="28"/>
      <c r="C747" s="9"/>
      <c r="D747" s="60"/>
      <c r="E747" s="60"/>
      <c r="F747" s="28"/>
    </row>
    <row r="748">
      <c r="A748" s="27"/>
      <c r="B748" s="28"/>
      <c r="C748" s="9"/>
      <c r="D748" s="60"/>
      <c r="E748" s="60"/>
      <c r="F748" s="28"/>
    </row>
    <row r="749">
      <c r="A749" s="27"/>
      <c r="B749" s="28"/>
      <c r="C749" s="9"/>
      <c r="D749" s="60"/>
      <c r="E749" s="60"/>
      <c r="F749" s="28"/>
    </row>
    <row r="750">
      <c r="A750" s="27"/>
      <c r="B750" s="28"/>
      <c r="C750" s="9"/>
      <c r="D750" s="60"/>
      <c r="E750" s="60"/>
      <c r="F750" s="28"/>
    </row>
    <row r="751">
      <c r="A751" s="27"/>
      <c r="B751" s="28"/>
      <c r="C751" s="9"/>
      <c r="D751" s="60"/>
      <c r="E751" s="60"/>
      <c r="F751" s="28"/>
    </row>
    <row r="752">
      <c r="A752" s="27"/>
      <c r="B752" s="28"/>
      <c r="C752" s="9"/>
      <c r="D752" s="60"/>
      <c r="E752" s="60"/>
      <c r="F752" s="28"/>
    </row>
    <row r="753">
      <c r="A753" s="27"/>
      <c r="B753" s="28"/>
      <c r="C753" s="9"/>
      <c r="D753" s="60"/>
      <c r="E753" s="60"/>
      <c r="F753" s="28"/>
    </row>
    <row r="754">
      <c r="A754" s="27"/>
      <c r="B754" s="28"/>
      <c r="C754" s="9"/>
      <c r="D754" s="60"/>
      <c r="E754" s="60"/>
      <c r="F754" s="28"/>
    </row>
    <row r="755">
      <c r="A755" s="27"/>
      <c r="B755" s="28"/>
      <c r="C755" s="9"/>
      <c r="D755" s="60"/>
      <c r="E755" s="60"/>
      <c r="F755" s="28"/>
    </row>
    <row r="756">
      <c r="A756" s="27"/>
      <c r="B756" s="28"/>
      <c r="C756" s="9"/>
      <c r="D756" s="60"/>
      <c r="E756" s="60"/>
      <c r="F756" s="28"/>
    </row>
    <row r="757">
      <c r="A757" s="27"/>
      <c r="B757" s="28"/>
      <c r="C757" s="9"/>
      <c r="D757" s="60"/>
      <c r="E757" s="60"/>
      <c r="F757" s="28"/>
    </row>
    <row r="758">
      <c r="A758" s="27"/>
      <c r="B758" s="28"/>
      <c r="C758" s="9"/>
      <c r="D758" s="60"/>
      <c r="E758" s="60"/>
      <c r="F758" s="28"/>
    </row>
    <row r="759">
      <c r="A759" s="27"/>
      <c r="B759" s="28"/>
      <c r="C759" s="9"/>
      <c r="D759" s="60"/>
      <c r="E759" s="60"/>
      <c r="F759" s="28"/>
    </row>
    <row r="760">
      <c r="A760" s="27"/>
      <c r="B760" s="28"/>
      <c r="C760" s="9"/>
      <c r="D760" s="60"/>
      <c r="E760" s="60"/>
      <c r="F760" s="28"/>
    </row>
    <row r="761">
      <c r="A761" s="27"/>
      <c r="B761" s="28"/>
      <c r="C761" s="9"/>
      <c r="D761" s="60"/>
      <c r="E761" s="60"/>
      <c r="F761" s="28"/>
    </row>
    <row r="762">
      <c r="A762" s="27"/>
      <c r="B762" s="28"/>
      <c r="C762" s="9"/>
      <c r="D762" s="60"/>
      <c r="E762" s="60"/>
      <c r="F762" s="28"/>
    </row>
    <row r="763">
      <c r="A763" s="27"/>
      <c r="B763" s="28"/>
      <c r="C763" s="9"/>
      <c r="D763" s="60"/>
      <c r="E763" s="60"/>
      <c r="F763" s="28"/>
    </row>
    <row r="764">
      <c r="A764" s="27"/>
      <c r="B764" s="28"/>
      <c r="C764" s="9"/>
      <c r="D764" s="60"/>
      <c r="E764" s="60"/>
      <c r="F764" s="28"/>
    </row>
    <row r="765">
      <c r="A765" s="27"/>
      <c r="B765" s="28"/>
      <c r="C765" s="9"/>
      <c r="D765" s="60"/>
      <c r="E765" s="60"/>
      <c r="F765" s="28"/>
    </row>
    <row r="766">
      <c r="A766" s="27"/>
      <c r="B766" s="28"/>
      <c r="C766" s="9"/>
      <c r="D766" s="60"/>
      <c r="E766" s="60"/>
      <c r="F766" s="28"/>
    </row>
    <row r="767">
      <c r="A767" s="27"/>
      <c r="B767" s="28"/>
      <c r="C767" s="9"/>
      <c r="D767" s="60"/>
      <c r="E767" s="60"/>
      <c r="F767" s="28"/>
    </row>
    <row r="768">
      <c r="A768" s="27"/>
      <c r="B768" s="28"/>
      <c r="C768" s="9"/>
      <c r="D768" s="60"/>
      <c r="E768" s="60"/>
      <c r="F768" s="28"/>
    </row>
    <row r="769">
      <c r="A769" s="27"/>
      <c r="B769" s="28"/>
      <c r="C769" s="9"/>
      <c r="D769" s="60"/>
      <c r="E769" s="60"/>
      <c r="F769" s="28"/>
    </row>
    <row r="770">
      <c r="A770" s="27"/>
      <c r="B770" s="28"/>
      <c r="C770" s="9"/>
      <c r="D770" s="60"/>
      <c r="E770" s="60"/>
      <c r="F770" s="28"/>
    </row>
    <row r="771">
      <c r="A771" s="27"/>
      <c r="B771" s="28"/>
      <c r="C771" s="9"/>
      <c r="D771" s="60"/>
      <c r="E771" s="60"/>
      <c r="F771" s="28"/>
    </row>
    <row r="772">
      <c r="A772" s="27"/>
      <c r="B772" s="28"/>
      <c r="C772" s="9"/>
      <c r="D772" s="60"/>
      <c r="E772" s="60"/>
      <c r="F772" s="28"/>
    </row>
    <row r="773">
      <c r="A773" s="27"/>
      <c r="B773" s="28"/>
      <c r="C773" s="9"/>
      <c r="D773" s="60"/>
      <c r="E773" s="60"/>
      <c r="F773" s="28"/>
    </row>
    <row r="774">
      <c r="A774" s="27"/>
      <c r="B774" s="28"/>
      <c r="C774" s="9"/>
      <c r="D774" s="60"/>
      <c r="E774" s="60"/>
      <c r="F774" s="28"/>
    </row>
    <row r="775">
      <c r="A775" s="27"/>
      <c r="B775" s="28"/>
      <c r="C775" s="9"/>
      <c r="D775" s="60"/>
      <c r="E775" s="60"/>
      <c r="F775" s="28"/>
    </row>
    <row r="776">
      <c r="A776" s="27"/>
      <c r="B776" s="28"/>
      <c r="C776" s="9"/>
      <c r="D776" s="60"/>
      <c r="E776" s="60"/>
      <c r="F776" s="28"/>
    </row>
    <row r="777">
      <c r="A777" s="27"/>
      <c r="B777" s="28"/>
      <c r="C777" s="9"/>
      <c r="D777" s="60"/>
      <c r="E777" s="60"/>
      <c r="F777" s="28"/>
    </row>
    <row r="778">
      <c r="A778" s="27"/>
      <c r="B778" s="28"/>
      <c r="C778" s="9"/>
      <c r="D778" s="60"/>
      <c r="E778" s="60"/>
      <c r="F778" s="28"/>
    </row>
    <row r="779">
      <c r="A779" s="27"/>
      <c r="B779" s="28"/>
      <c r="C779" s="9"/>
      <c r="D779" s="60"/>
      <c r="E779" s="60"/>
      <c r="F779" s="28"/>
    </row>
    <row r="780">
      <c r="A780" s="27"/>
      <c r="B780" s="28"/>
      <c r="C780" s="9"/>
      <c r="D780" s="60"/>
      <c r="E780" s="60"/>
      <c r="F780" s="28"/>
    </row>
    <row r="781">
      <c r="A781" s="27"/>
      <c r="B781" s="28"/>
      <c r="C781" s="9"/>
      <c r="D781" s="60"/>
      <c r="E781" s="60"/>
      <c r="F781" s="28"/>
    </row>
    <row r="782">
      <c r="A782" s="27"/>
      <c r="B782" s="28"/>
      <c r="C782" s="9"/>
      <c r="D782" s="60"/>
      <c r="E782" s="60"/>
      <c r="F782" s="28"/>
    </row>
    <row r="783">
      <c r="A783" s="27"/>
      <c r="B783" s="28"/>
      <c r="C783" s="9"/>
      <c r="D783" s="60"/>
      <c r="E783" s="60"/>
      <c r="F783" s="28"/>
    </row>
    <row r="784">
      <c r="A784" s="27"/>
      <c r="B784" s="28"/>
      <c r="C784" s="9"/>
      <c r="D784" s="60"/>
      <c r="E784" s="60"/>
      <c r="F784" s="28"/>
    </row>
    <row r="785">
      <c r="A785" s="27"/>
      <c r="B785" s="28"/>
      <c r="C785" s="9"/>
      <c r="D785" s="60"/>
      <c r="E785" s="60"/>
      <c r="F785" s="28"/>
    </row>
    <row r="786">
      <c r="A786" s="27"/>
      <c r="B786" s="28"/>
      <c r="C786" s="9"/>
      <c r="D786" s="60"/>
      <c r="E786" s="60"/>
      <c r="F786" s="28"/>
    </row>
    <row r="787">
      <c r="A787" s="27"/>
      <c r="B787" s="28"/>
      <c r="C787" s="9"/>
      <c r="D787" s="60"/>
      <c r="E787" s="60"/>
      <c r="F787" s="28"/>
    </row>
    <row r="788">
      <c r="A788" s="27"/>
      <c r="B788" s="28"/>
      <c r="C788" s="9"/>
      <c r="D788" s="60"/>
      <c r="E788" s="60"/>
      <c r="F788" s="28"/>
    </row>
    <row r="789">
      <c r="A789" s="27"/>
      <c r="B789" s="28"/>
      <c r="C789" s="9"/>
      <c r="D789" s="60"/>
      <c r="E789" s="60"/>
      <c r="F789" s="28"/>
    </row>
    <row r="790">
      <c r="A790" s="27"/>
      <c r="B790" s="28"/>
      <c r="C790" s="9"/>
      <c r="D790" s="60"/>
      <c r="E790" s="60"/>
      <c r="F790" s="28"/>
    </row>
    <row r="791">
      <c r="A791" s="27"/>
      <c r="B791" s="28"/>
      <c r="C791" s="9"/>
      <c r="D791" s="60"/>
      <c r="E791" s="60"/>
      <c r="F791" s="28"/>
    </row>
    <row r="792">
      <c r="A792" s="27"/>
      <c r="B792" s="28"/>
      <c r="C792" s="9"/>
      <c r="D792" s="60"/>
      <c r="E792" s="60"/>
      <c r="F792" s="28"/>
    </row>
    <row r="793">
      <c r="A793" s="27"/>
      <c r="B793" s="28"/>
      <c r="C793" s="9"/>
      <c r="D793" s="60"/>
      <c r="E793" s="60"/>
      <c r="F793" s="28"/>
    </row>
    <row r="794">
      <c r="A794" s="27"/>
      <c r="B794" s="28"/>
      <c r="C794" s="9"/>
      <c r="D794" s="60"/>
      <c r="E794" s="60"/>
      <c r="F794" s="28"/>
    </row>
    <row r="795">
      <c r="A795" s="27"/>
      <c r="B795" s="28"/>
      <c r="C795" s="9"/>
      <c r="D795" s="60"/>
      <c r="E795" s="60"/>
      <c r="F795" s="28"/>
    </row>
    <row r="796">
      <c r="A796" s="27"/>
      <c r="B796" s="28"/>
      <c r="C796" s="9"/>
      <c r="D796" s="60"/>
      <c r="E796" s="60"/>
      <c r="F796" s="28"/>
    </row>
    <row r="797">
      <c r="A797" s="27"/>
      <c r="B797" s="28"/>
      <c r="C797" s="9"/>
      <c r="D797" s="60"/>
      <c r="E797" s="60"/>
      <c r="F797" s="28"/>
    </row>
    <row r="798">
      <c r="A798" s="27"/>
      <c r="B798" s="28"/>
      <c r="C798" s="9"/>
      <c r="D798" s="60"/>
      <c r="E798" s="60"/>
      <c r="F798" s="28"/>
    </row>
    <row r="799">
      <c r="A799" s="27"/>
      <c r="B799" s="28"/>
      <c r="C799" s="9"/>
      <c r="D799" s="60"/>
      <c r="E799" s="60"/>
      <c r="F799" s="28"/>
    </row>
    <row r="800">
      <c r="A800" s="27"/>
      <c r="B800" s="28"/>
      <c r="C800" s="9"/>
      <c r="D800" s="60"/>
      <c r="E800" s="60"/>
      <c r="F800" s="28"/>
    </row>
    <row r="801">
      <c r="A801" s="27"/>
      <c r="B801" s="28"/>
      <c r="C801" s="9"/>
      <c r="D801" s="60"/>
      <c r="E801" s="60"/>
      <c r="F801" s="28"/>
    </row>
    <row r="802">
      <c r="A802" s="27"/>
      <c r="B802" s="28"/>
      <c r="C802" s="9"/>
      <c r="D802" s="60"/>
      <c r="E802" s="60"/>
      <c r="F802" s="28"/>
    </row>
    <row r="803">
      <c r="A803" s="27"/>
      <c r="B803" s="28"/>
      <c r="C803" s="9"/>
      <c r="D803" s="60"/>
      <c r="E803" s="60"/>
      <c r="F803" s="28"/>
    </row>
    <row r="804">
      <c r="A804" s="27"/>
      <c r="B804" s="28"/>
      <c r="C804" s="9"/>
      <c r="D804" s="60"/>
      <c r="E804" s="60"/>
      <c r="F804" s="28"/>
    </row>
    <row r="805">
      <c r="A805" s="27"/>
      <c r="B805" s="28"/>
      <c r="C805" s="9"/>
      <c r="D805" s="60"/>
      <c r="E805" s="60"/>
      <c r="F805" s="28"/>
    </row>
    <row r="806">
      <c r="A806" s="27"/>
      <c r="B806" s="28"/>
      <c r="C806" s="9"/>
      <c r="D806" s="60"/>
      <c r="E806" s="60"/>
      <c r="F806" s="28"/>
    </row>
    <row r="807">
      <c r="A807" s="27"/>
      <c r="B807" s="28"/>
      <c r="C807" s="9"/>
      <c r="D807" s="60"/>
      <c r="E807" s="60"/>
      <c r="F807" s="28"/>
    </row>
    <row r="808">
      <c r="A808" s="27"/>
      <c r="B808" s="28"/>
      <c r="C808" s="9"/>
      <c r="D808" s="60"/>
      <c r="E808" s="60"/>
      <c r="F808" s="28"/>
    </row>
    <row r="809">
      <c r="A809" s="27"/>
      <c r="B809" s="28"/>
      <c r="C809" s="9"/>
      <c r="D809" s="60"/>
      <c r="E809" s="60"/>
      <c r="F809" s="28"/>
    </row>
    <row r="810">
      <c r="A810" s="27"/>
      <c r="B810" s="28"/>
      <c r="C810" s="9"/>
      <c r="D810" s="60"/>
      <c r="E810" s="60"/>
      <c r="F810" s="28"/>
    </row>
    <row r="811">
      <c r="A811" s="27"/>
      <c r="B811" s="28"/>
      <c r="C811" s="9"/>
      <c r="D811" s="60"/>
      <c r="E811" s="60"/>
      <c r="F811" s="28"/>
    </row>
    <row r="812">
      <c r="A812" s="27"/>
      <c r="B812" s="28"/>
      <c r="C812" s="9"/>
      <c r="D812" s="60"/>
      <c r="E812" s="60"/>
      <c r="F812" s="28"/>
    </row>
    <row r="813">
      <c r="A813" s="27"/>
      <c r="B813" s="28"/>
      <c r="C813" s="9"/>
      <c r="D813" s="60"/>
      <c r="E813" s="60"/>
      <c r="F813" s="28"/>
    </row>
    <row r="814">
      <c r="A814" s="27"/>
      <c r="B814" s="28"/>
      <c r="C814" s="9"/>
      <c r="D814" s="60"/>
      <c r="E814" s="60"/>
      <c r="F814" s="28"/>
    </row>
    <row r="815">
      <c r="A815" s="27"/>
      <c r="B815" s="28"/>
      <c r="C815" s="9"/>
      <c r="D815" s="60"/>
      <c r="E815" s="60"/>
      <c r="F815" s="28"/>
    </row>
    <row r="816">
      <c r="A816" s="27"/>
      <c r="B816" s="28"/>
      <c r="C816" s="9"/>
      <c r="D816" s="60"/>
      <c r="E816" s="60"/>
      <c r="F816" s="28"/>
    </row>
    <row r="817">
      <c r="A817" s="27"/>
      <c r="B817" s="28"/>
      <c r="C817" s="9"/>
      <c r="D817" s="60"/>
      <c r="E817" s="60"/>
      <c r="F817" s="28"/>
    </row>
    <row r="818">
      <c r="A818" s="27"/>
      <c r="B818" s="28"/>
      <c r="C818" s="9"/>
      <c r="D818" s="60"/>
      <c r="E818" s="60"/>
      <c r="F818" s="28"/>
    </row>
    <row r="819">
      <c r="A819" s="27"/>
      <c r="B819" s="28"/>
      <c r="C819" s="9"/>
      <c r="D819" s="60"/>
      <c r="E819" s="60"/>
      <c r="F819" s="28"/>
    </row>
    <row r="820">
      <c r="A820" s="27"/>
      <c r="B820" s="28"/>
      <c r="C820" s="9"/>
      <c r="D820" s="60"/>
      <c r="E820" s="60"/>
      <c r="F820" s="28"/>
    </row>
    <row r="821">
      <c r="A821" s="27"/>
      <c r="B821" s="28"/>
      <c r="C821" s="9"/>
      <c r="D821" s="60"/>
      <c r="E821" s="60"/>
      <c r="F821" s="28"/>
    </row>
    <row r="822">
      <c r="A822" s="27"/>
      <c r="B822" s="28"/>
      <c r="C822" s="9"/>
      <c r="D822" s="60"/>
      <c r="E822" s="60"/>
      <c r="F822" s="28"/>
    </row>
    <row r="823">
      <c r="A823" s="27"/>
      <c r="B823" s="28"/>
      <c r="C823" s="9"/>
      <c r="D823" s="60"/>
      <c r="E823" s="60"/>
      <c r="F823" s="28"/>
    </row>
    <row r="824">
      <c r="A824" s="27"/>
      <c r="B824" s="28"/>
      <c r="C824" s="9"/>
      <c r="D824" s="60"/>
      <c r="E824" s="60"/>
      <c r="F824" s="28"/>
    </row>
    <row r="825">
      <c r="A825" s="27"/>
      <c r="B825" s="28"/>
      <c r="C825" s="9"/>
      <c r="D825" s="60"/>
      <c r="E825" s="60"/>
      <c r="F825" s="28"/>
    </row>
    <row r="826">
      <c r="A826" s="27"/>
      <c r="B826" s="28"/>
      <c r="C826" s="9"/>
      <c r="D826" s="60"/>
      <c r="E826" s="60"/>
      <c r="F826" s="28"/>
    </row>
    <row r="827">
      <c r="A827" s="27"/>
      <c r="B827" s="28"/>
      <c r="C827" s="9"/>
      <c r="D827" s="60"/>
      <c r="E827" s="60"/>
      <c r="F827" s="28"/>
    </row>
    <row r="828">
      <c r="A828" s="27"/>
      <c r="B828" s="28"/>
      <c r="C828" s="9"/>
      <c r="D828" s="60"/>
      <c r="E828" s="60"/>
      <c r="F828" s="28"/>
    </row>
    <row r="829">
      <c r="A829" s="27"/>
      <c r="B829" s="28"/>
      <c r="C829" s="9"/>
      <c r="D829" s="60"/>
      <c r="E829" s="60"/>
      <c r="F829" s="28"/>
    </row>
    <row r="830">
      <c r="A830" s="27"/>
      <c r="B830" s="28"/>
      <c r="C830" s="9"/>
      <c r="D830" s="60"/>
      <c r="E830" s="60"/>
      <c r="F830" s="28"/>
    </row>
    <row r="831">
      <c r="A831" s="27"/>
      <c r="B831" s="28"/>
      <c r="C831" s="9"/>
      <c r="D831" s="60"/>
      <c r="E831" s="60"/>
      <c r="F831" s="28"/>
    </row>
    <row r="832">
      <c r="A832" s="27"/>
      <c r="B832" s="28"/>
      <c r="C832" s="9"/>
      <c r="D832" s="60"/>
      <c r="E832" s="60"/>
      <c r="F832" s="28"/>
    </row>
    <row r="833">
      <c r="A833" s="27"/>
      <c r="B833" s="28"/>
      <c r="C833" s="9"/>
      <c r="D833" s="60"/>
      <c r="E833" s="60"/>
      <c r="F833" s="28"/>
    </row>
    <row r="834">
      <c r="A834" s="27"/>
      <c r="B834" s="28"/>
      <c r="C834" s="9"/>
      <c r="D834" s="60"/>
      <c r="E834" s="60"/>
      <c r="F834" s="28"/>
    </row>
    <row r="835">
      <c r="A835" s="27"/>
      <c r="B835" s="28"/>
      <c r="C835" s="9"/>
      <c r="D835" s="60"/>
      <c r="E835" s="60"/>
      <c r="F835" s="28"/>
    </row>
    <row r="836">
      <c r="A836" s="27"/>
      <c r="B836" s="28"/>
      <c r="C836" s="9"/>
      <c r="D836" s="60"/>
      <c r="E836" s="60"/>
      <c r="F836" s="28"/>
    </row>
    <row r="837">
      <c r="A837" s="27"/>
      <c r="B837" s="28"/>
      <c r="C837" s="9"/>
      <c r="D837" s="60"/>
      <c r="E837" s="60"/>
      <c r="F837" s="28"/>
    </row>
    <row r="838">
      <c r="A838" s="27"/>
      <c r="B838" s="28"/>
      <c r="C838" s="9"/>
      <c r="D838" s="60"/>
      <c r="E838" s="60"/>
      <c r="F838" s="28"/>
    </row>
    <row r="839">
      <c r="A839" s="27"/>
      <c r="B839" s="28"/>
      <c r="C839" s="9"/>
      <c r="D839" s="60"/>
      <c r="E839" s="60"/>
      <c r="F839" s="28"/>
    </row>
    <row r="840">
      <c r="A840" s="27"/>
      <c r="B840" s="28"/>
      <c r="C840" s="9"/>
      <c r="D840" s="60"/>
      <c r="E840" s="60"/>
      <c r="F840" s="28"/>
    </row>
    <row r="841">
      <c r="A841" s="27"/>
      <c r="B841" s="28"/>
      <c r="C841" s="9"/>
      <c r="D841" s="60"/>
      <c r="E841" s="60"/>
      <c r="F841" s="28"/>
    </row>
    <row r="842">
      <c r="A842" s="27"/>
      <c r="B842" s="28"/>
      <c r="C842" s="9"/>
      <c r="D842" s="60"/>
      <c r="E842" s="60"/>
      <c r="F842" s="28"/>
    </row>
    <row r="843">
      <c r="A843" s="27"/>
      <c r="B843" s="28"/>
      <c r="C843" s="9"/>
      <c r="D843" s="60"/>
      <c r="E843" s="60"/>
      <c r="F843" s="28"/>
    </row>
    <row r="844">
      <c r="A844" s="27"/>
      <c r="B844" s="28"/>
      <c r="C844" s="9"/>
      <c r="D844" s="60"/>
      <c r="E844" s="60"/>
      <c r="F844" s="28"/>
    </row>
    <row r="845">
      <c r="A845" s="27"/>
      <c r="B845" s="28"/>
      <c r="C845" s="9"/>
      <c r="D845" s="60"/>
      <c r="E845" s="60"/>
      <c r="F845" s="28"/>
    </row>
    <row r="846">
      <c r="A846" s="27"/>
      <c r="B846" s="28"/>
      <c r="C846" s="9"/>
      <c r="D846" s="60"/>
      <c r="E846" s="60"/>
      <c r="F846" s="28"/>
    </row>
    <row r="847">
      <c r="A847" s="27"/>
      <c r="B847" s="28"/>
      <c r="C847" s="9"/>
      <c r="D847" s="60"/>
      <c r="E847" s="60"/>
      <c r="F847" s="28"/>
    </row>
    <row r="848">
      <c r="A848" s="27"/>
      <c r="B848" s="28"/>
      <c r="C848" s="9"/>
      <c r="D848" s="60"/>
      <c r="E848" s="60"/>
      <c r="F848" s="28"/>
    </row>
    <row r="849">
      <c r="A849" s="27"/>
      <c r="B849" s="28"/>
      <c r="C849" s="9"/>
      <c r="D849" s="60"/>
      <c r="E849" s="60"/>
      <c r="F849" s="28"/>
    </row>
    <row r="850">
      <c r="A850" s="27"/>
      <c r="B850" s="28"/>
      <c r="C850" s="9"/>
      <c r="D850" s="60"/>
      <c r="E850" s="60"/>
      <c r="F850" s="28"/>
    </row>
    <row r="851">
      <c r="A851" s="27"/>
      <c r="B851" s="28"/>
      <c r="C851" s="9"/>
      <c r="D851" s="60"/>
      <c r="E851" s="60"/>
      <c r="F851" s="28"/>
    </row>
    <row r="852">
      <c r="A852" s="27"/>
      <c r="B852" s="28"/>
      <c r="C852" s="9"/>
      <c r="D852" s="60"/>
      <c r="E852" s="60"/>
      <c r="F852" s="28"/>
    </row>
    <row r="853">
      <c r="A853" s="27"/>
      <c r="B853" s="28"/>
      <c r="C853" s="9"/>
      <c r="D853" s="60"/>
      <c r="E853" s="60"/>
      <c r="F853" s="28"/>
    </row>
    <row r="854">
      <c r="A854" s="27"/>
      <c r="B854" s="28"/>
      <c r="C854" s="9"/>
      <c r="D854" s="60"/>
      <c r="E854" s="60"/>
      <c r="F854" s="28"/>
    </row>
    <row r="855">
      <c r="A855" s="27"/>
      <c r="B855" s="28"/>
      <c r="C855" s="9"/>
      <c r="D855" s="60"/>
      <c r="E855" s="60"/>
      <c r="F855" s="28"/>
    </row>
    <row r="856">
      <c r="A856" s="27"/>
      <c r="B856" s="28"/>
      <c r="C856" s="9"/>
      <c r="D856" s="60"/>
      <c r="E856" s="60"/>
      <c r="F856" s="28"/>
    </row>
    <row r="857">
      <c r="A857" s="27"/>
      <c r="B857" s="28"/>
      <c r="C857" s="9"/>
      <c r="D857" s="60"/>
      <c r="E857" s="60"/>
      <c r="F857" s="28"/>
    </row>
    <row r="858">
      <c r="A858" s="27"/>
      <c r="B858" s="28"/>
      <c r="C858" s="9"/>
      <c r="D858" s="60"/>
      <c r="E858" s="60"/>
      <c r="F858" s="28"/>
    </row>
    <row r="859">
      <c r="A859" s="27"/>
      <c r="B859" s="28"/>
      <c r="C859" s="9"/>
      <c r="D859" s="60"/>
      <c r="E859" s="60"/>
      <c r="F859" s="28"/>
    </row>
    <row r="860">
      <c r="A860" s="27"/>
      <c r="B860" s="28"/>
      <c r="C860" s="9"/>
      <c r="D860" s="60"/>
      <c r="E860" s="60"/>
      <c r="F860" s="28"/>
    </row>
    <row r="861">
      <c r="A861" s="27"/>
      <c r="B861" s="28"/>
      <c r="C861" s="9"/>
      <c r="D861" s="60"/>
      <c r="E861" s="60"/>
      <c r="F861" s="28"/>
    </row>
    <row r="862">
      <c r="A862" s="27"/>
      <c r="B862" s="28"/>
      <c r="C862" s="9"/>
      <c r="D862" s="60"/>
      <c r="E862" s="60"/>
      <c r="F862" s="28"/>
    </row>
    <row r="863">
      <c r="A863" s="27"/>
      <c r="B863" s="28"/>
      <c r="C863" s="9"/>
      <c r="D863" s="60"/>
      <c r="E863" s="60"/>
      <c r="F863" s="28"/>
    </row>
    <row r="864">
      <c r="A864" s="27"/>
      <c r="B864" s="28"/>
      <c r="C864" s="9"/>
      <c r="D864" s="60"/>
      <c r="E864" s="60"/>
      <c r="F864" s="28"/>
    </row>
    <row r="865">
      <c r="A865" s="27"/>
      <c r="B865" s="28"/>
      <c r="C865" s="9"/>
      <c r="D865" s="60"/>
      <c r="E865" s="60"/>
      <c r="F865" s="28"/>
    </row>
    <row r="866">
      <c r="A866" s="27"/>
      <c r="B866" s="28"/>
      <c r="C866" s="9"/>
      <c r="D866" s="60"/>
      <c r="E866" s="60"/>
      <c r="F866" s="28"/>
    </row>
    <row r="867">
      <c r="A867" s="27"/>
      <c r="B867" s="28"/>
      <c r="C867" s="9"/>
      <c r="D867" s="60"/>
      <c r="E867" s="60"/>
      <c r="F867" s="28"/>
    </row>
    <row r="868">
      <c r="A868" s="27"/>
      <c r="B868" s="28"/>
      <c r="C868" s="9"/>
      <c r="D868" s="60"/>
      <c r="E868" s="60"/>
      <c r="F868" s="28"/>
    </row>
    <row r="869">
      <c r="A869" s="27"/>
      <c r="B869" s="28"/>
      <c r="C869" s="9"/>
      <c r="D869" s="60"/>
      <c r="E869" s="60"/>
      <c r="F869" s="28"/>
    </row>
    <row r="870">
      <c r="A870" s="27"/>
      <c r="B870" s="28"/>
      <c r="C870" s="9"/>
      <c r="D870" s="60"/>
      <c r="E870" s="60"/>
      <c r="F870" s="28"/>
    </row>
    <row r="871">
      <c r="A871" s="27"/>
      <c r="B871" s="28"/>
      <c r="C871" s="9"/>
      <c r="D871" s="60"/>
      <c r="E871" s="60"/>
      <c r="F871" s="28"/>
    </row>
    <row r="872">
      <c r="A872" s="27"/>
      <c r="B872" s="28"/>
      <c r="C872" s="9"/>
      <c r="D872" s="60"/>
      <c r="E872" s="60"/>
      <c r="F872" s="28"/>
    </row>
    <row r="873">
      <c r="A873" s="27"/>
      <c r="B873" s="28"/>
      <c r="C873" s="9"/>
      <c r="D873" s="60"/>
      <c r="E873" s="60"/>
      <c r="F873" s="28"/>
    </row>
    <row r="874">
      <c r="A874" s="27"/>
      <c r="B874" s="28"/>
      <c r="C874" s="9"/>
      <c r="D874" s="60"/>
      <c r="E874" s="60"/>
      <c r="F874" s="28"/>
    </row>
    <row r="875">
      <c r="A875" s="27"/>
      <c r="B875" s="28"/>
      <c r="C875" s="9"/>
      <c r="D875" s="60"/>
      <c r="E875" s="60"/>
      <c r="F875" s="28"/>
    </row>
    <row r="876">
      <c r="A876" s="27"/>
      <c r="B876" s="28"/>
      <c r="C876" s="9"/>
      <c r="D876" s="60"/>
      <c r="E876" s="60"/>
      <c r="F876" s="28"/>
    </row>
    <row r="877">
      <c r="A877" s="27"/>
      <c r="B877" s="28"/>
      <c r="C877" s="9"/>
      <c r="D877" s="60"/>
      <c r="E877" s="60"/>
      <c r="F877" s="28"/>
    </row>
    <row r="878">
      <c r="A878" s="27"/>
      <c r="B878" s="28"/>
      <c r="C878" s="9"/>
      <c r="D878" s="60"/>
      <c r="E878" s="60"/>
      <c r="F878" s="28"/>
    </row>
    <row r="879">
      <c r="A879" s="27"/>
      <c r="B879" s="28"/>
      <c r="C879" s="9"/>
      <c r="D879" s="60"/>
      <c r="E879" s="60"/>
      <c r="F879" s="28"/>
    </row>
    <row r="880">
      <c r="A880" s="27"/>
      <c r="B880" s="28"/>
      <c r="C880" s="9"/>
      <c r="D880" s="60"/>
      <c r="E880" s="60"/>
      <c r="F880" s="28"/>
    </row>
    <row r="881">
      <c r="A881" s="27"/>
      <c r="B881" s="28"/>
      <c r="C881" s="9"/>
      <c r="D881" s="60"/>
      <c r="E881" s="60"/>
      <c r="F881" s="28"/>
    </row>
    <row r="882">
      <c r="A882" s="27"/>
      <c r="B882" s="28"/>
      <c r="C882" s="9"/>
      <c r="D882" s="60"/>
      <c r="E882" s="60"/>
      <c r="F882" s="28"/>
    </row>
    <row r="883">
      <c r="A883" s="27"/>
      <c r="B883" s="28"/>
      <c r="C883" s="9"/>
      <c r="D883" s="60"/>
      <c r="E883" s="60"/>
      <c r="F883" s="28"/>
    </row>
    <row r="884">
      <c r="A884" s="27"/>
      <c r="B884" s="28"/>
      <c r="C884" s="9"/>
      <c r="D884" s="60"/>
      <c r="E884" s="60"/>
      <c r="F884" s="28"/>
    </row>
    <row r="885">
      <c r="A885" s="27"/>
      <c r="B885" s="28"/>
      <c r="C885" s="9"/>
      <c r="D885" s="60"/>
      <c r="E885" s="60"/>
      <c r="F885" s="28"/>
    </row>
    <row r="886">
      <c r="A886" s="27"/>
      <c r="B886" s="28"/>
      <c r="C886" s="9"/>
      <c r="D886" s="60"/>
      <c r="E886" s="60"/>
      <c r="F886" s="28"/>
    </row>
    <row r="887">
      <c r="A887" s="27"/>
      <c r="B887" s="28"/>
      <c r="C887" s="9"/>
      <c r="D887" s="60"/>
      <c r="E887" s="60"/>
      <c r="F887" s="28"/>
    </row>
    <row r="888">
      <c r="A888" s="27"/>
      <c r="B888" s="28"/>
      <c r="C888" s="9"/>
      <c r="D888" s="60"/>
      <c r="E888" s="60"/>
      <c r="F888" s="28"/>
    </row>
    <row r="889">
      <c r="A889" s="27"/>
      <c r="B889" s="28"/>
      <c r="C889" s="9"/>
      <c r="D889" s="60"/>
      <c r="E889" s="60"/>
      <c r="F889" s="28"/>
    </row>
    <row r="890">
      <c r="A890" s="27"/>
      <c r="B890" s="28"/>
      <c r="C890" s="9"/>
      <c r="D890" s="60"/>
      <c r="E890" s="60"/>
      <c r="F890" s="28"/>
    </row>
    <row r="891">
      <c r="A891" s="27"/>
      <c r="B891" s="28"/>
      <c r="C891" s="9"/>
      <c r="D891" s="60"/>
      <c r="E891" s="60"/>
      <c r="F891" s="28"/>
    </row>
    <row r="892">
      <c r="A892" s="27"/>
      <c r="B892" s="28"/>
      <c r="C892" s="9"/>
      <c r="D892" s="60"/>
      <c r="E892" s="60"/>
      <c r="F892" s="28"/>
    </row>
    <row r="893">
      <c r="A893" s="27"/>
      <c r="B893" s="28"/>
      <c r="C893" s="9"/>
      <c r="D893" s="60"/>
      <c r="E893" s="60"/>
      <c r="F893" s="28"/>
    </row>
    <row r="894">
      <c r="A894" s="27"/>
      <c r="B894" s="28"/>
      <c r="C894" s="9"/>
      <c r="D894" s="60"/>
      <c r="E894" s="60"/>
      <c r="F894" s="28"/>
    </row>
    <row r="895">
      <c r="A895" s="27"/>
      <c r="B895" s="28"/>
      <c r="C895" s="9"/>
      <c r="D895" s="60"/>
      <c r="E895" s="60"/>
      <c r="F895" s="28"/>
    </row>
    <row r="896">
      <c r="A896" s="27"/>
      <c r="B896" s="28"/>
      <c r="C896" s="9"/>
      <c r="D896" s="60"/>
      <c r="E896" s="60"/>
      <c r="F896" s="28"/>
    </row>
    <row r="897">
      <c r="A897" s="27"/>
      <c r="B897" s="28"/>
      <c r="C897" s="9"/>
      <c r="D897" s="60"/>
      <c r="E897" s="60"/>
      <c r="F897" s="28"/>
    </row>
    <row r="898">
      <c r="A898" s="27"/>
      <c r="B898" s="28"/>
      <c r="C898" s="9"/>
      <c r="D898" s="60"/>
      <c r="E898" s="60"/>
      <c r="F898" s="28"/>
    </row>
    <row r="899">
      <c r="A899" s="27"/>
      <c r="B899" s="28"/>
      <c r="C899" s="9"/>
      <c r="D899" s="60"/>
      <c r="E899" s="60"/>
      <c r="F899" s="28"/>
    </row>
    <row r="900">
      <c r="A900" s="27"/>
      <c r="B900" s="28"/>
      <c r="C900" s="9"/>
      <c r="D900" s="60"/>
      <c r="E900" s="60"/>
      <c r="F900" s="28"/>
    </row>
    <row r="901">
      <c r="A901" s="27"/>
      <c r="B901" s="28"/>
      <c r="C901" s="9"/>
      <c r="D901" s="60"/>
      <c r="E901" s="60"/>
      <c r="F901" s="28"/>
    </row>
    <row r="902">
      <c r="A902" s="27"/>
      <c r="B902" s="28"/>
      <c r="C902" s="9"/>
      <c r="D902" s="60"/>
      <c r="E902" s="60"/>
      <c r="F902" s="28"/>
    </row>
    <row r="903">
      <c r="A903" s="27"/>
      <c r="B903" s="28"/>
      <c r="C903" s="9"/>
      <c r="D903" s="60"/>
      <c r="E903" s="60"/>
      <c r="F903" s="28"/>
    </row>
    <row r="904">
      <c r="A904" s="27"/>
      <c r="B904" s="28"/>
      <c r="C904" s="9"/>
      <c r="D904" s="60"/>
      <c r="E904" s="60"/>
      <c r="F904" s="28"/>
    </row>
    <row r="905">
      <c r="A905" s="27"/>
      <c r="B905" s="28"/>
      <c r="C905" s="9"/>
      <c r="D905" s="60"/>
      <c r="E905" s="60"/>
      <c r="F905" s="28"/>
    </row>
    <row r="906">
      <c r="A906" s="27"/>
      <c r="B906" s="28"/>
      <c r="C906" s="9"/>
      <c r="D906" s="60"/>
      <c r="E906" s="60"/>
      <c r="F906" s="28"/>
    </row>
    <row r="907">
      <c r="A907" s="27"/>
      <c r="B907" s="28"/>
      <c r="C907" s="9"/>
      <c r="D907" s="60"/>
      <c r="E907" s="60"/>
      <c r="F907" s="28"/>
    </row>
    <row r="908">
      <c r="A908" s="27"/>
      <c r="B908" s="28"/>
      <c r="C908" s="9"/>
      <c r="D908" s="60"/>
      <c r="E908" s="60"/>
      <c r="F908" s="28"/>
    </row>
    <row r="909">
      <c r="A909" s="27"/>
      <c r="B909" s="28"/>
      <c r="C909" s="9"/>
      <c r="D909" s="60"/>
      <c r="E909" s="60"/>
      <c r="F909" s="28"/>
    </row>
    <row r="910">
      <c r="A910" s="27"/>
      <c r="B910" s="28"/>
      <c r="C910" s="9"/>
      <c r="D910" s="60"/>
      <c r="E910" s="60"/>
      <c r="F910" s="28"/>
    </row>
    <row r="911">
      <c r="A911" s="27"/>
      <c r="B911" s="28"/>
      <c r="C911" s="9"/>
      <c r="D911" s="60"/>
      <c r="E911" s="60"/>
      <c r="F911" s="28"/>
    </row>
    <row r="912">
      <c r="A912" s="27"/>
      <c r="B912" s="28"/>
      <c r="C912" s="9"/>
      <c r="D912" s="60"/>
      <c r="E912" s="60"/>
      <c r="F912" s="28"/>
    </row>
    <row r="913">
      <c r="A913" s="27"/>
      <c r="B913" s="28"/>
      <c r="C913" s="9"/>
      <c r="D913" s="60"/>
      <c r="E913" s="60"/>
      <c r="F913" s="28"/>
    </row>
    <row r="914">
      <c r="A914" s="27"/>
      <c r="B914" s="28"/>
      <c r="C914" s="9"/>
      <c r="D914" s="60"/>
      <c r="E914" s="60"/>
      <c r="F914" s="28"/>
    </row>
    <row r="915">
      <c r="A915" s="27"/>
      <c r="B915" s="28"/>
      <c r="C915" s="9"/>
      <c r="D915" s="60"/>
      <c r="E915" s="60"/>
      <c r="F915" s="28"/>
    </row>
    <row r="916">
      <c r="A916" s="27"/>
      <c r="B916" s="28"/>
      <c r="C916" s="9"/>
      <c r="D916" s="60"/>
      <c r="E916" s="60"/>
      <c r="F916" s="28"/>
    </row>
    <row r="917">
      <c r="A917" s="27"/>
      <c r="B917" s="28"/>
      <c r="C917" s="9"/>
      <c r="D917" s="60"/>
      <c r="E917" s="60"/>
      <c r="F917" s="28"/>
    </row>
    <row r="918">
      <c r="A918" s="27"/>
      <c r="B918" s="28"/>
      <c r="C918" s="9"/>
      <c r="D918" s="60"/>
      <c r="E918" s="60"/>
      <c r="F918" s="28"/>
    </row>
    <row r="919">
      <c r="A919" s="27"/>
      <c r="B919" s="28"/>
      <c r="C919" s="9"/>
      <c r="D919" s="60"/>
      <c r="E919" s="60"/>
      <c r="F919" s="28"/>
    </row>
    <row r="920">
      <c r="A920" s="27"/>
      <c r="B920" s="28"/>
      <c r="C920" s="9"/>
      <c r="D920" s="60"/>
      <c r="E920" s="60"/>
      <c r="F920" s="28"/>
    </row>
    <row r="921">
      <c r="A921" s="27"/>
      <c r="B921" s="28"/>
      <c r="C921" s="9"/>
      <c r="D921" s="60"/>
      <c r="E921" s="60"/>
      <c r="F921" s="28"/>
    </row>
    <row r="922">
      <c r="A922" s="27"/>
      <c r="B922" s="28"/>
      <c r="C922" s="9"/>
      <c r="D922" s="60"/>
      <c r="E922" s="60"/>
      <c r="F922" s="28"/>
    </row>
    <row r="923">
      <c r="A923" s="27"/>
      <c r="B923" s="28"/>
      <c r="C923" s="9"/>
      <c r="D923" s="60"/>
      <c r="E923" s="60"/>
      <c r="F923" s="28"/>
    </row>
    <row r="924">
      <c r="A924" s="27"/>
      <c r="B924" s="28"/>
      <c r="C924" s="9"/>
      <c r="D924" s="60"/>
      <c r="E924" s="60"/>
      <c r="F924" s="28"/>
    </row>
    <row r="925">
      <c r="A925" s="27"/>
      <c r="B925" s="28"/>
      <c r="C925" s="9"/>
      <c r="D925" s="60"/>
      <c r="E925" s="60"/>
      <c r="F925" s="28"/>
    </row>
    <row r="926">
      <c r="A926" s="27"/>
      <c r="B926" s="28"/>
      <c r="C926" s="9"/>
      <c r="D926" s="60"/>
      <c r="E926" s="60"/>
      <c r="F926" s="28"/>
    </row>
    <row r="927">
      <c r="A927" s="27"/>
      <c r="B927" s="28"/>
      <c r="C927" s="9"/>
      <c r="D927" s="60"/>
      <c r="E927" s="60"/>
      <c r="F927" s="28"/>
    </row>
    <row r="928">
      <c r="A928" s="27"/>
      <c r="B928" s="28"/>
      <c r="C928" s="9"/>
      <c r="D928" s="60"/>
      <c r="E928" s="60"/>
      <c r="F928" s="28"/>
    </row>
    <row r="929">
      <c r="A929" s="27"/>
      <c r="B929" s="28"/>
      <c r="C929" s="9"/>
      <c r="D929" s="60"/>
      <c r="E929" s="60"/>
      <c r="F929" s="28"/>
    </row>
    <row r="930">
      <c r="A930" s="27"/>
      <c r="B930" s="28"/>
      <c r="C930" s="9"/>
      <c r="D930" s="60"/>
      <c r="E930" s="60"/>
      <c r="F930" s="28"/>
    </row>
    <row r="931">
      <c r="A931" s="27"/>
      <c r="B931" s="28"/>
      <c r="C931" s="9"/>
      <c r="D931" s="60"/>
      <c r="E931" s="60"/>
      <c r="F931" s="28"/>
    </row>
    <row r="932">
      <c r="A932" s="27"/>
      <c r="B932" s="28"/>
      <c r="C932" s="9"/>
      <c r="D932" s="60"/>
      <c r="E932" s="60"/>
      <c r="F932" s="28"/>
    </row>
    <row r="933">
      <c r="A933" s="27"/>
      <c r="B933" s="28"/>
      <c r="C933" s="9"/>
      <c r="D933" s="60"/>
      <c r="E933" s="60"/>
      <c r="F933" s="28"/>
    </row>
    <row r="934">
      <c r="A934" s="27"/>
      <c r="B934" s="28"/>
      <c r="C934" s="9"/>
      <c r="D934" s="60"/>
      <c r="E934" s="60"/>
      <c r="F934" s="28"/>
    </row>
    <row r="935">
      <c r="A935" s="27"/>
      <c r="B935" s="28"/>
      <c r="C935" s="9"/>
      <c r="D935" s="60"/>
      <c r="E935" s="60"/>
      <c r="F935" s="28"/>
    </row>
    <row r="936">
      <c r="A936" s="27"/>
      <c r="B936" s="28"/>
      <c r="C936" s="9"/>
      <c r="D936" s="60"/>
      <c r="E936" s="60"/>
      <c r="F936" s="28"/>
    </row>
    <row r="937">
      <c r="A937" s="27"/>
      <c r="B937" s="28"/>
      <c r="C937" s="9"/>
      <c r="D937" s="60"/>
      <c r="E937" s="60"/>
      <c r="F937" s="28"/>
    </row>
    <row r="938">
      <c r="A938" s="27"/>
      <c r="B938" s="28"/>
      <c r="C938" s="9"/>
      <c r="D938" s="60"/>
      <c r="E938" s="60"/>
      <c r="F938" s="28"/>
    </row>
    <row r="939">
      <c r="A939" s="27"/>
      <c r="B939" s="28"/>
      <c r="C939" s="9"/>
      <c r="D939" s="60"/>
      <c r="E939" s="60"/>
      <c r="F939" s="28"/>
    </row>
    <row r="940">
      <c r="A940" s="27"/>
      <c r="B940" s="28"/>
      <c r="C940" s="9"/>
      <c r="D940" s="60"/>
      <c r="E940" s="60"/>
      <c r="F940" s="28"/>
    </row>
    <row r="941">
      <c r="A941" s="27"/>
      <c r="B941" s="28"/>
      <c r="C941" s="9"/>
      <c r="D941" s="60"/>
      <c r="E941" s="60"/>
      <c r="F941" s="28"/>
    </row>
    <row r="942">
      <c r="A942" s="27"/>
      <c r="B942" s="28"/>
      <c r="C942" s="9"/>
      <c r="D942" s="60"/>
      <c r="E942" s="60"/>
      <c r="F942" s="28"/>
    </row>
    <row r="943">
      <c r="A943" s="27"/>
      <c r="B943" s="28"/>
      <c r="C943" s="9"/>
      <c r="D943" s="60"/>
      <c r="E943" s="60"/>
      <c r="F943" s="28"/>
    </row>
    <row r="944">
      <c r="A944" s="27"/>
      <c r="B944" s="28"/>
      <c r="C944" s="9"/>
      <c r="D944" s="60"/>
      <c r="E944" s="60"/>
      <c r="F944" s="28"/>
    </row>
    <row r="945">
      <c r="A945" s="27"/>
      <c r="B945" s="28"/>
      <c r="C945" s="9"/>
      <c r="D945" s="60"/>
      <c r="E945" s="60"/>
      <c r="F945" s="28"/>
    </row>
    <row r="946">
      <c r="A946" s="27"/>
      <c r="B946" s="28"/>
      <c r="C946" s="9"/>
      <c r="D946" s="60"/>
      <c r="E946" s="60"/>
      <c r="F946" s="28"/>
    </row>
    <row r="947">
      <c r="A947" s="27"/>
      <c r="B947" s="28"/>
      <c r="C947" s="9"/>
      <c r="D947" s="60"/>
      <c r="E947" s="60"/>
      <c r="F947" s="28"/>
    </row>
    <row r="948">
      <c r="A948" s="27"/>
      <c r="B948" s="28"/>
      <c r="C948" s="9"/>
      <c r="D948" s="60"/>
      <c r="E948" s="60"/>
      <c r="F948" s="28"/>
    </row>
    <row r="949">
      <c r="A949" s="27"/>
      <c r="B949" s="28"/>
      <c r="C949" s="9"/>
      <c r="D949" s="60"/>
      <c r="E949" s="60"/>
      <c r="F949" s="28"/>
    </row>
    <row r="950">
      <c r="A950" s="27"/>
      <c r="B950" s="28"/>
      <c r="C950" s="9"/>
      <c r="D950" s="60"/>
      <c r="E950" s="60"/>
      <c r="F950" s="28"/>
    </row>
    <row r="951">
      <c r="A951" s="27"/>
      <c r="B951" s="28"/>
      <c r="C951" s="9"/>
      <c r="D951" s="60"/>
      <c r="E951" s="60"/>
      <c r="F951" s="28"/>
    </row>
    <row r="952">
      <c r="A952" s="27"/>
      <c r="B952" s="28"/>
      <c r="C952" s="9"/>
      <c r="D952" s="60"/>
      <c r="E952" s="60"/>
      <c r="F952" s="28"/>
    </row>
    <row r="953">
      <c r="A953" s="27"/>
      <c r="B953" s="28"/>
      <c r="C953" s="9"/>
      <c r="D953" s="60"/>
      <c r="E953" s="60"/>
      <c r="F953" s="28"/>
    </row>
    <row r="954">
      <c r="A954" s="27"/>
      <c r="B954" s="28"/>
      <c r="C954" s="9"/>
      <c r="D954" s="60"/>
      <c r="E954" s="60"/>
      <c r="F954" s="28"/>
    </row>
    <row r="955">
      <c r="A955" s="27"/>
      <c r="B955" s="28"/>
      <c r="C955" s="9"/>
      <c r="D955" s="60"/>
      <c r="E955" s="60"/>
      <c r="F955" s="28"/>
    </row>
    <row r="956">
      <c r="A956" s="27"/>
      <c r="B956" s="28"/>
      <c r="C956" s="9"/>
      <c r="D956" s="60"/>
      <c r="E956" s="60"/>
      <c r="F956" s="28"/>
    </row>
    <row r="957">
      <c r="A957" s="27"/>
      <c r="B957" s="28"/>
      <c r="C957" s="9"/>
      <c r="D957" s="60"/>
      <c r="E957" s="60"/>
      <c r="F957" s="28"/>
    </row>
    <row r="958">
      <c r="A958" s="27"/>
      <c r="B958" s="28"/>
      <c r="C958" s="9"/>
      <c r="D958" s="60"/>
      <c r="E958" s="60"/>
      <c r="F958" s="28"/>
    </row>
    <row r="959">
      <c r="A959" s="27"/>
      <c r="B959" s="28"/>
      <c r="C959" s="9"/>
      <c r="D959" s="60"/>
      <c r="E959" s="60"/>
      <c r="F959" s="28"/>
    </row>
    <row r="960">
      <c r="A960" s="27"/>
      <c r="B960" s="28"/>
      <c r="C960" s="9"/>
      <c r="D960" s="60"/>
      <c r="E960" s="60"/>
      <c r="F960" s="28"/>
    </row>
    <row r="961">
      <c r="A961" s="27"/>
      <c r="B961" s="28"/>
      <c r="C961" s="9"/>
      <c r="D961" s="60"/>
      <c r="E961" s="60"/>
      <c r="F961" s="28"/>
    </row>
    <row r="962">
      <c r="A962" s="27"/>
      <c r="B962" s="28"/>
      <c r="C962" s="9"/>
      <c r="D962" s="60"/>
      <c r="E962" s="60"/>
      <c r="F962" s="28"/>
    </row>
    <row r="963">
      <c r="A963" s="27"/>
      <c r="B963" s="28"/>
      <c r="C963" s="9"/>
      <c r="D963" s="60"/>
      <c r="E963" s="60"/>
      <c r="F963" s="28"/>
    </row>
    <row r="964">
      <c r="A964" s="27"/>
      <c r="B964" s="28"/>
      <c r="C964" s="9"/>
      <c r="D964" s="60"/>
      <c r="E964" s="60"/>
      <c r="F964" s="28"/>
    </row>
    <row r="965">
      <c r="A965" s="27"/>
      <c r="B965" s="28"/>
      <c r="C965" s="9"/>
      <c r="D965" s="60"/>
      <c r="E965" s="60"/>
      <c r="F965" s="28"/>
    </row>
    <row r="966">
      <c r="A966" s="27"/>
      <c r="B966" s="28"/>
      <c r="C966" s="9"/>
      <c r="D966" s="60"/>
      <c r="E966" s="60"/>
      <c r="F966" s="28"/>
    </row>
    <row r="967">
      <c r="A967" s="27"/>
      <c r="B967" s="28"/>
      <c r="C967" s="9"/>
      <c r="D967" s="60"/>
      <c r="E967" s="60"/>
      <c r="F967" s="28"/>
    </row>
    <row r="968">
      <c r="A968" s="27"/>
      <c r="B968" s="28"/>
      <c r="C968" s="9"/>
      <c r="D968" s="60"/>
      <c r="E968" s="60"/>
      <c r="F968" s="28"/>
    </row>
    <row r="969">
      <c r="A969" s="27"/>
      <c r="B969" s="28"/>
      <c r="C969" s="9"/>
      <c r="D969" s="60"/>
      <c r="E969" s="60"/>
      <c r="F969" s="28"/>
    </row>
    <row r="970">
      <c r="A970" s="27"/>
      <c r="B970" s="28"/>
      <c r="C970" s="9"/>
      <c r="D970" s="60"/>
      <c r="E970" s="60"/>
      <c r="F970" s="28"/>
    </row>
    <row r="971">
      <c r="A971" s="27"/>
      <c r="B971" s="28"/>
      <c r="C971" s="9"/>
      <c r="D971" s="60"/>
      <c r="E971" s="60"/>
      <c r="F971" s="28"/>
    </row>
    <row r="972">
      <c r="A972" s="27"/>
      <c r="B972" s="28"/>
      <c r="C972" s="9"/>
      <c r="D972" s="60"/>
      <c r="E972" s="60"/>
      <c r="F972" s="28"/>
    </row>
    <row r="973">
      <c r="A973" s="27"/>
      <c r="B973" s="28"/>
      <c r="C973" s="9"/>
      <c r="D973" s="60"/>
      <c r="E973" s="60"/>
      <c r="F973" s="28"/>
    </row>
    <row r="974">
      <c r="A974" s="27"/>
      <c r="B974" s="28"/>
      <c r="C974" s="9"/>
      <c r="D974" s="60"/>
      <c r="E974" s="60"/>
      <c r="F974" s="28"/>
    </row>
    <row r="975">
      <c r="A975" s="27"/>
      <c r="B975" s="28"/>
      <c r="C975" s="9"/>
      <c r="D975" s="60"/>
      <c r="E975" s="60"/>
      <c r="F975" s="28"/>
    </row>
    <row r="976">
      <c r="A976" s="27"/>
      <c r="B976" s="28"/>
      <c r="C976" s="9"/>
      <c r="D976" s="60"/>
      <c r="E976" s="60"/>
      <c r="F976" s="28"/>
    </row>
    <row r="977">
      <c r="A977" s="27"/>
      <c r="B977" s="28"/>
      <c r="C977" s="9"/>
      <c r="D977" s="60"/>
      <c r="E977" s="60"/>
      <c r="F977" s="28"/>
    </row>
    <row r="978">
      <c r="A978" s="27"/>
      <c r="B978" s="28"/>
      <c r="C978" s="9"/>
      <c r="D978" s="60"/>
      <c r="E978" s="60"/>
      <c r="F978" s="28"/>
    </row>
    <row r="979">
      <c r="A979" s="27"/>
      <c r="B979" s="28"/>
      <c r="C979" s="9"/>
      <c r="D979" s="60"/>
      <c r="E979" s="60"/>
      <c r="F979" s="28"/>
    </row>
    <row r="980">
      <c r="A980" s="27"/>
      <c r="B980" s="28"/>
      <c r="C980" s="9"/>
      <c r="D980" s="60"/>
      <c r="E980" s="60"/>
      <c r="F980" s="28"/>
    </row>
    <row r="981">
      <c r="A981" s="27"/>
      <c r="B981" s="28"/>
      <c r="C981" s="9"/>
      <c r="D981" s="60"/>
      <c r="E981" s="60"/>
      <c r="F981" s="28"/>
    </row>
    <row r="982">
      <c r="A982" s="27"/>
      <c r="B982" s="28"/>
      <c r="C982" s="9"/>
      <c r="D982" s="60"/>
      <c r="E982" s="60"/>
      <c r="F982" s="28"/>
    </row>
    <row r="983">
      <c r="A983" s="27"/>
      <c r="B983" s="28"/>
      <c r="C983" s="9"/>
      <c r="D983" s="60"/>
      <c r="E983" s="60"/>
      <c r="F983" s="28"/>
    </row>
    <row r="984">
      <c r="A984" s="27"/>
      <c r="B984" s="28"/>
      <c r="C984" s="9"/>
      <c r="D984" s="60"/>
      <c r="E984" s="60"/>
      <c r="F984" s="28"/>
    </row>
    <row r="985">
      <c r="A985" s="27"/>
      <c r="B985" s="28"/>
      <c r="C985" s="9"/>
      <c r="D985" s="60"/>
      <c r="E985" s="60"/>
      <c r="F985" s="28"/>
    </row>
    <row r="986">
      <c r="A986" s="27"/>
      <c r="B986" s="28"/>
      <c r="C986" s="9"/>
      <c r="D986" s="60"/>
      <c r="E986" s="60"/>
      <c r="F986" s="28"/>
    </row>
    <row r="987">
      <c r="A987" s="27"/>
      <c r="B987" s="28"/>
      <c r="C987" s="9"/>
      <c r="D987" s="60"/>
      <c r="E987" s="60"/>
      <c r="F987" s="28"/>
    </row>
    <row r="988">
      <c r="A988" s="27"/>
      <c r="B988" s="28"/>
      <c r="C988" s="9"/>
      <c r="D988" s="60"/>
      <c r="E988" s="60"/>
      <c r="F988" s="28"/>
    </row>
    <row r="989">
      <c r="A989" s="27"/>
      <c r="B989" s="28"/>
      <c r="C989" s="9"/>
      <c r="D989" s="60"/>
      <c r="E989" s="60"/>
      <c r="F989" s="28"/>
    </row>
    <row r="990">
      <c r="A990" s="27"/>
      <c r="B990" s="28"/>
      <c r="C990" s="9"/>
      <c r="D990" s="60"/>
      <c r="E990" s="60"/>
      <c r="F990" s="28"/>
    </row>
    <row r="991">
      <c r="A991" s="27"/>
      <c r="B991" s="28"/>
      <c r="C991" s="9"/>
      <c r="D991" s="60"/>
      <c r="E991" s="60"/>
      <c r="F991" s="28"/>
    </row>
    <row r="992">
      <c r="A992" s="27"/>
      <c r="B992" s="28"/>
      <c r="C992" s="9"/>
      <c r="D992" s="60"/>
      <c r="E992" s="60"/>
      <c r="F992" s="28"/>
    </row>
    <row r="993">
      <c r="A993" s="27"/>
      <c r="B993" s="28"/>
      <c r="C993" s="9"/>
      <c r="D993" s="60"/>
      <c r="E993" s="60"/>
      <c r="F993" s="28"/>
    </row>
    <row r="994">
      <c r="A994" s="27"/>
      <c r="B994" s="28"/>
      <c r="C994" s="9"/>
      <c r="D994" s="60"/>
      <c r="E994" s="60"/>
      <c r="F994" s="28"/>
    </row>
    <row r="995">
      <c r="A995" s="27"/>
      <c r="B995" s="28"/>
      <c r="C995" s="9"/>
      <c r="D995" s="60"/>
      <c r="E995" s="60"/>
      <c r="F995" s="28"/>
    </row>
    <row r="996">
      <c r="A996" s="27"/>
      <c r="B996" s="28"/>
      <c r="C996" s="9"/>
      <c r="D996" s="60"/>
      <c r="E996" s="60"/>
      <c r="F996" s="28"/>
    </row>
    <row r="997">
      <c r="A997" s="27"/>
      <c r="B997" s="28"/>
      <c r="C997" s="9"/>
      <c r="D997" s="60"/>
      <c r="E997" s="60"/>
      <c r="F997" s="28"/>
    </row>
    <row r="998">
      <c r="A998" s="27"/>
      <c r="B998" s="28"/>
      <c r="C998" s="9"/>
      <c r="D998" s="60"/>
      <c r="E998" s="60"/>
      <c r="F998" s="28"/>
    </row>
    <row r="999">
      <c r="A999" s="27"/>
      <c r="B999" s="28"/>
      <c r="C999" s="9"/>
      <c r="D999" s="60"/>
      <c r="E999" s="60"/>
      <c r="F999" s="28"/>
    </row>
    <row r="1000">
      <c r="A1000" s="27"/>
      <c r="B1000" s="28"/>
      <c r="C1000" s="9"/>
      <c r="D1000" s="60"/>
      <c r="E1000" s="60"/>
      <c r="F1000" s="28"/>
    </row>
    <row r="1001">
      <c r="A1001" s="27"/>
      <c r="B1001" s="28"/>
      <c r="C1001" s="9"/>
      <c r="D1001" s="60"/>
      <c r="E1001" s="60"/>
      <c r="F1001" s="28"/>
    </row>
    <row r="1002">
      <c r="A1002" s="27"/>
      <c r="B1002" s="28"/>
      <c r="C1002" s="9"/>
      <c r="D1002" s="9"/>
      <c r="F1002" s="28"/>
    </row>
    <row r="1003">
      <c r="A1003" s="27"/>
      <c r="B1003" s="28"/>
      <c r="C1003" s="9"/>
      <c r="D1003" s="9"/>
      <c r="F1003" s="28"/>
    </row>
    <row r="1004">
      <c r="A1004" s="27"/>
      <c r="B1004" s="28"/>
      <c r="C1004" s="9"/>
      <c r="D1004" s="9"/>
      <c r="F1004" s="28"/>
    </row>
    <row r="1005">
      <c r="A1005" s="27"/>
      <c r="B1005" s="28"/>
      <c r="C1005" s="9"/>
      <c r="D1005" s="9"/>
      <c r="F1005" s="28"/>
    </row>
    <row r="1006">
      <c r="A1006" s="27"/>
      <c r="B1006" s="28"/>
      <c r="C1006" s="9"/>
      <c r="D1006" s="9"/>
      <c r="F1006" s="28"/>
    </row>
    <row r="1007">
      <c r="A1007" s="27"/>
      <c r="B1007" s="28"/>
      <c r="C1007" s="9"/>
      <c r="D1007" s="9"/>
      <c r="F1007" s="28"/>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1">
        <v>45986.0</v>
      </c>
      <c r="B1" s="61">
        <v>88270.0</v>
      </c>
      <c r="C1" s="61">
        <v>88457.0</v>
      </c>
      <c r="D1" s="61">
        <v>86131.0</v>
      </c>
      <c r="E1" s="61">
        <v>87342.0</v>
      </c>
      <c r="F1" s="61">
        <v>6.4837343545E10</v>
      </c>
      <c r="G1" s="61">
        <v>1.742845443841E12</v>
      </c>
      <c r="H1" s="62"/>
      <c r="I1" s="62"/>
      <c r="J1" s="62"/>
      <c r="K1" s="62"/>
      <c r="L1" s="62"/>
      <c r="M1" s="62"/>
      <c r="N1" s="62"/>
      <c r="O1" s="62"/>
      <c r="P1" s="62"/>
      <c r="Q1" s="62"/>
      <c r="R1" s="62"/>
      <c r="S1" s="62"/>
      <c r="T1" s="62"/>
      <c r="U1" s="62"/>
      <c r="V1" s="62"/>
      <c r="W1" s="62"/>
      <c r="X1" s="62"/>
      <c r="Y1" s="62"/>
      <c r="Z1" s="62"/>
    </row>
    <row r="2">
      <c r="A2" s="61">
        <v>45985.0</v>
      </c>
      <c r="B2" s="61">
        <v>86799.0</v>
      </c>
      <c r="C2" s="61">
        <v>89206.0</v>
      </c>
      <c r="D2" s="61">
        <v>85272.0</v>
      </c>
      <c r="E2" s="61">
        <v>88271.0</v>
      </c>
      <c r="F2" s="61">
        <v>7.443389611E10</v>
      </c>
      <c r="G2" s="61">
        <v>1.761274125686E12</v>
      </c>
      <c r="H2" s="62"/>
      <c r="I2" s="62"/>
      <c r="J2" s="62"/>
      <c r="K2" s="62"/>
      <c r="L2" s="62"/>
      <c r="M2" s="62"/>
      <c r="N2" s="62"/>
      <c r="O2" s="62"/>
      <c r="P2" s="62"/>
      <c r="Q2" s="62"/>
      <c r="R2" s="62"/>
      <c r="S2" s="62"/>
      <c r="T2" s="62"/>
      <c r="U2" s="62"/>
      <c r="V2" s="62"/>
      <c r="W2" s="62"/>
      <c r="X2" s="62"/>
      <c r="Y2" s="62"/>
      <c r="Z2" s="62"/>
    </row>
    <row r="3">
      <c r="A3" s="61">
        <v>45984.0</v>
      </c>
      <c r="B3" s="61">
        <v>84649.0</v>
      </c>
      <c r="C3" s="61">
        <v>88038.0</v>
      </c>
      <c r="D3" s="61">
        <v>84642.0</v>
      </c>
      <c r="E3" s="61">
        <v>86805.0</v>
      </c>
      <c r="F3" s="61">
        <v>5.8083435576E10</v>
      </c>
      <c r="G3" s="61">
        <v>1.731864376001E12</v>
      </c>
      <c r="H3" s="62"/>
      <c r="I3" s="62"/>
      <c r="J3" s="62"/>
      <c r="K3" s="62"/>
      <c r="L3" s="62"/>
      <c r="M3" s="62"/>
      <c r="N3" s="62"/>
      <c r="O3" s="62"/>
      <c r="P3" s="62"/>
      <c r="Q3" s="62"/>
      <c r="R3" s="62"/>
      <c r="S3" s="62"/>
      <c r="T3" s="62"/>
      <c r="U3" s="62"/>
      <c r="V3" s="62"/>
      <c r="W3" s="62"/>
      <c r="X3" s="62"/>
      <c r="Y3" s="62"/>
      <c r="Z3" s="62"/>
    </row>
    <row r="4">
      <c r="A4" s="61">
        <v>45983.0</v>
      </c>
      <c r="B4" s="61">
        <v>85099.0</v>
      </c>
      <c r="C4" s="61">
        <v>85503.0</v>
      </c>
      <c r="D4" s="61">
        <v>83491.0</v>
      </c>
      <c r="E4" s="61">
        <v>84648.0</v>
      </c>
      <c r="F4" s="61">
        <v>4.0793099246E10</v>
      </c>
      <c r="G4" s="61">
        <v>1.688942560013E12</v>
      </c>
      <c r="H4" s="62"/>
      <c r="I4" s="62"/>
      <c r="J4" s="62"/>
      <c r="K4" s="62"/>
      <c r="L4" s="62"/>
      <c r="M4" s="62"/>
      <c r="N4" s="62"/>
      <c r="O4" s="62"/>
      <c r="P4" s="62"/>
      <c r="Q4" s="62"/>
      <c r="R4" s="62"/>
      <c r="S4" s="62"/>
      <c r="T4" s="62"/>
      <c r="U4" s="62"/>
      <c r="V4" s="62"/>
      <c r="W4" s="62"/>
      <c r="X4" s="62"/>
      <c r="Y4" s="62"/>
      <c r="Z4" s="62"/>
    </row>
    <row r="5">
      <c r="A5" s="61">
        <v>45982.0</v>
      </c>
      <c r="B5" s="61">
        <v>86529.0</v>
      </c>
      <c r="C5" s="61">
        <v>87381.0</v>
      </c>
      <c r="D5" s="61">
        <v>80660.0</v>
      </c>
      <c r="E5" s="61">
        <v>85091.0</v>
      </c>
      <c r="F5" s="61">
        <v>1.29157506112E11</v>
      </c>
      <c r="G5" s="61">
        <v>1.697767449247E12</v>
      </c>
      <c r="H5" s="62"/>
      <c r="I5" s="62"/>
      <c r="J5" s="62"/>
      <c r="K5" s="62"/>
      <c r="L5" s="62"/>
      <c r="M5" s="62"/>
      <c r="N5" s="62"/>
      <c r="O5" s="62"/>
      <c r="P5" s="62"/>
      <c r="Q5" s="62"/>
      <c r="R5" s="62"/>
      <c r="S5" s="62"/>
      <c r="T5" s="62"/>
      <c r="U5" s="62"/>
      <c r="V5" s="62"/>
      <c r="W5" s="62"/>
      <c r="X5" s="62"/>
      <c r="Y5" s="62"/>
      <c r="Z5" s="62"/>
    </row>
    <row r="6">
      <c r="A6" s="61">
        <v>45981.0</v>
      </c>
      <c r="B6" s="61">
        <v>91459.0</v>
      </c>
      <c r="C6" s="61">
        <v>93025.0</v>
      </c>
      <c r="D6" s="61">
        <v>86041.0</v>
      </c>
      <c r="E6" s="61">
        <v>86632.0</v>
      </c>
      <c r="F6" s="61">
        <v>9.7970645638E10</v>
      </c>
      <c r="G6" s="61">
        <v>1.726300933848E12</v>
      </c>
      <c r="H6" s="62"/>
      <c r="I6" s="62"/>
      <c r="J6" s="62"/>
      <c r="K6" s="62"/>
      <c r="L6" s="62"/>
      <c r="M6" s="62"/>
      <c r="N6" s="62"/>
      <c r="O6" s="62"/>
      <c r="P6" s="62"/>
      <c r="Q6" s="62"/>
      <c r="R6" s="62"/>
      <c r="S6" s="62"/>
      <c r="T6" s="62"/>
      <c r="U6" s="62"/>
      <c r="V6" s="62"/>
      <c r="W6" s="62"/>
      <c r="X6" s="62"/>
      <c r="Y6" s="62"/>
      <c r="Z6" s="62"/>
    </row>
    <row r="7">
      <c r="A7" s="61">
        <v>45980.0</v>
      </c>
      <c r="B7" s="61">
        <v>92946.0</v>
      </c>
      <c r="C7" s="61">
        <v>92946.0</v>
      </c>
      <c r="D7" s="61">
        <v>88527.0</v>
      </c>
      <c r="E7" s="61">
        <v>91466.0</v>
      </c>
      <c r="F7" s="61">
        <v>8.0350354656E10</v>
      </c>
      <c r="G7" s="61">
        <v>1.824801361627E12</v>
      </c>
      <c r="H7" s="62"/>
      <c r="I7" s="62"/>
      <c r="J7" s="62"/>
      <c r="K7" s="62"/>
      <c r="L7" s="62"/>
      <c r="M7" s="62"/>
      <c r="N7" s="62"/>
      <c r="O7" s="62"/>
      <c r="P7" s="62"/>
      <c r="Q7" s="62"/>
      <c r="R7" s="62"/>
      <c r="S7" s="62"/>
      <c r="T7" s="62"/>
      <c r="U7" s="62"/>
      <c r="V7" s="62"/>
      <c r="W7" s="62"/>
      <c r="X7" s="62"/>
      <c r="Y7" s="62"/>
      <c r="Z7" s="62"/>
    </row>
    <row r="8">
      <c r="A8" s="61">
        <v>45979.0</v>
      </c>
      <c r="B8" s="61">
        <v>92095.0</v>
      </c>
      <c r="C8" s="61">
        <v>93745.0</v>
      </c>
      <c r="D8" s="61">
        <v>89300.0</v>
      </c>
      <c r="E8" s="61">
        <v>92949.0</v>
      </c>
      <c r="F8" s="61">
        <v>1.01333569062E11</v>
      </c>
      <c r="G8" s="61">
        <v>1.854316908538E12</v>
      </c>
      <c r="H8" s="62"/>
      <c r="I8" s="62"/>
      <c r="J8" s="62"/>
      <c r="K8" s="62"/>
      <c r="L8" s="62"/>
      <c r="M8" s="62"/>
      <c r="N8" s="62"/>
      <c r="O8" s="62"/>
      <c r="P8" s="62"/>
      <c r="Q8" s="62"/>
      <c r="R8" s="62"/>
      <c r="S8" s="62"/>
      <c r="T8" s="62"/>
      <c r="U8" s="62"/>
      <c r="V8" s="62"/>
      <c r="W8" s="62"/>
      <c r="X8" s="62"/>
      <c r="Y8" s="62"/>
      <c r="Z8" s="62"/>
    </row>
    <row r="9">
      <c r="A9" s="61">
        <v>45978.0</v>
      </c>
      <c r="B9" s="61">
        <v>94181.0</v>
      </c>
      <c r="C9" s="61">
        <v>95928.0</v>
      </c>
      <c r="D9" s="61">
        <v>91215.0</v>
      </c>
      <c r="E9" s="61">
        <v>92094.0</v>
      </c>
      <c r="F9" s="61">
        <v>9.4186165724E10</v>
      </c>
      <c r="G9" s="61">
        <v>1.837303984873E12</v>
      </c>
      <c r="H9" s="62"/>
      <c r="I9" s="62"/>
      <c r="J9" s="62"/>
      <c r="K9" s="62"/>
      <c r="L9" s="62"/>
      <c r="M9" s="62"/>
      <c r="N9" s="62"/>
      <c r="O9" s="62"/>
      <c r="P9" s="62"/>
      <c r="Q9" s="62"/>
      <c r="R9" s="62"/>
      <c r="S9" s="62"/>
      <c r="T9" s="62"/>
      <c r="U9" s="62"/>
      <c r="V9" s="62"/>
      <c r="W9" s="62"/>
      <c r="X9" s="62"/>
      <c r="Y9" s="62"/>
      <c r="Z9" s="62"/>
    </row>
    <row r="10">
      <c r="A10" s="61">
        <v>45977.0</v>
      </c>
      <c r="B10" s="61">
        <v>95557.0</v>
      </c>
      <c r="C10" s="61">
        <v>96564.0</v>
      </c>
      <c r="D10" s="61">
        <v>92971.0</v>
      </c>
      <c r="E10" s="61">
        <v>94177.0</v>
      </c>
      <c r="F10" s="61">
        <v>7.1086235862E10</v>
      </c>
      <c r="G10" s="61">
        <v>1.878796595873E12</v>
      </c>
      <c r="H10" s="62"/>
      <c r="I10" s="62"/>
      <c r="J10" s="62"/>
      <c r="K10" s="62"/>
      <c r="L10" s="62"/>
      <c r="M10" s="62"/>
      <c r="N10" s="62"/>
      <c r="O10" s="62"/>
      <c r="P10" s="62"/>
      <c r="Q10" s="62"/>
      <c r="R10" s="62"/>
      <c r="S10" s="62"/>
      <c r="T10" s="62"/>
      <c r="U10" s="62"/>
      <c r="V10" s="62"/>
      <c r="W10" s="62"/>
      <c r="X10" s="62"/>
      <c r="Y10" s="62"/>
      <c r="Z10" s="62"/>
    </row>
    <row r="11">
      <c r="A11" s="61">
        <v>45976.0</v>
      </c>
      <c r="B11" s="61">
        <v>94420.0</v>
      </c>
      <c r="C11" s="61">
        <v>96728.0</v>
      </c>
      <c r="D11" s="61">
        <v>94420.0</v>
      </c>
      <c r="E11" s="61">
        <v>95549.0</v>
      </c>
      <c r="F11" s="61">
        <v>3.8500716654E10</v>
      </c>
      <c r="G11" s="61">
        <v>1.906091949063E12</v>
      </c>
      <c r="H11" s="62"/>
      <c r="I11" s="62"/>
      <c r="J11" s="62"/>
      <c r="K11" s="62"/>
      <c r="L11" s="62"/>
      <c r="M11" s="62"/>
      <c r="N11" s="62"/>
      <c r="O11" s="62"/>
      <c r="P11" s="62"/>
      <c r="Q11" s="62"/>
      <c r="R11" s="62"/>
      <c r="S11" s="62"/>
      <c r="T11" s="62"/>
      <c r="U11" s="62"/>
      <c r="V11" s="62"/>
      <c r="W11" s="62"/>
      <c r="X11" s="62"/>
      <c r="Y11" s="62"/>
      <c r="Z11" s="62"/>
    </row>
    <row r="12">
      <c r="A12" s="61">
        <v>45975.0</v>
      </c>
      <c r="B12" s="61">
        <v>99695.0</v>
      </c>
      <c r="C12" s="61">
        <v>99804.0</v>
      </c>
      <c r="D12" s="61">
        <v>94001.0</v>
      </c>
      <c r="E12" s="61">
        <v>94398.0</v>
      </c>
      <c r="F12" s="61">
        <v>1.1434644189E11</v>
      </c>
      <c r="G12" s="61">
        <v>1.883576225587E12</v>
      </c>
      <c r="H12" s="62"/>
      <c r="I12" s="62"/>
      <c r="J12" s="62"/>
      <c r="K12" s="62"/>
      <c r="L12" s="62"/>
      <c r="M12" s="62"/>
      <c r="N12" s="62"/>
      <c r="O12" s="62"/>
      <c r="P12" s="62"/>
      <c r="Q12" s="62"/>
      <c r="R12" s="62"/>
      <c r="S12" s="62"/>
      <c r="T12" s="62"/>
      <c r="U12" s="62"/>
      <c r="V12" s="62"/>
      <c r="W12" s="62"/>
      <c r="X12" s="62"/>
      <c r="Y12" s="62"/>
      <c r="Z12" s="62"/>
    </row>
    <row r="13">
      <c r="A13" s="61">
        <v>45974.0</v>
      </c>
      <c r="B13" s="61">
        <v>101674.0</v>
      </c>
      <c r="C13" s="61">
        <v>104005.0</v>
      </c>
      <c r="D13" s="61">
        <v>97989.0</v>
      </c>
      <c r="E13" s="61">
        <v>99697.0</v>
      </c>
      <c r="F13" s="61">
        <v>1.01546815416E11</v>
      </c>
      <c r="G13" s="61">
        <v>1.988753566438E12</v>
      </c>
      <c r="H13" s="62"/>
      <c r="I13" s="62"/>
      <c r="J13" s="62"/>
      <c r="K13" s="62"/>
      <c r="L13" s="62"/>
      <c r="M13" s="62"/>
      <c r="N13" s="62"/>
      <c r="O13" s="62"/>
      <c r="P13" s="62"/>
      <c r="Q13" s="62"/>
      <c r="R13" s="62"/>
      <c r="S13" s="62"/>
      <c r="T13" s="62"/>
      <c r="U13" s="62"/>
      <c r="V13" s="62"/>
      <c r="W13" s="62"/>
      <c r="X13" s="62"/>
      <c r="Y13" s="62"/>
      <c r="Z13" s="62"/>
    </row>
    <row r="14">
      <c r="A14" s="61">
        <v>45973.0</v>
      </c>
      <c r="B14" s="61">
        <v>103011.0</v>
      </c>
      <c r="C14" s="61">
        <v>105297.0</v>
      </c>
      <c r="D14" s="61">
        <v>100837.0</v>
      </c>
      <c r="E14" s="61">
        <v>101663.0</v>
      </c>
      <c r="F14" s="61">
        <v>6.4347179408E10</v>
      </c>
      <c r="G14" s="61">
        <v>2.028193369222E12</v>
      </c>
      <c r="H14" s="62"/>
      <c r="I14" s="62"/>
      <c r="J14" s="62"/>
      <c r="K14" s="62"/>
      <c r="L14" s="62"/>
      <c r="M14" s="62"/>
      <c r="N14" s="62"/>
      <c r="O14" s="62"/>
      <c r="P14" s="62"/>
      <c r="Q14" s="62"/>
      <c r="R14" s="62"/>
      <c r="S14" s="62"/>
      <c r="T14" s="62"/>
      <c r="U14" s="62"/>
      <c r="V14" s="62"/>
      <c r="W14" s="62"/>
      <c r="X14" s="62"/>
      <c r="Y14" s="62"/>
      <c r="Z14" s="62"/>
    </row>
    <row r="15">
      <c r="A15" s="61">
        <v>45972.0</v>
      </c>
      <c r="B15" s="61">
        <v>105997.0</v>
      </c>
      <c r="C15" s="61">
        <v>107428.0</v>
      </c>
      <c r="D15" s="61">
        <v>102457.0</v>
      </c>
      <c r="E15" s="61">
        <v>102997.0</v>
      </c>
      <c r="F15" s="61">
        <v>7.1130078574E10</v>
      </c>
      <c r="G15" s="61">
        <v>2.054823782941E12</v>
      </c>
      <c r="H15" s="62"/>
      <c r="I15" s="62"/>
      <c r="J15" s="62"/>
      <c r="K15" s="62"/>
      <c r="L15" s="62"/>
      <c r="M15" s="62"/>
      <c r="N15" s="62"/>
      <c r="O15" s="62"/>
      <c r="P15" s="62"/>
      <c r="Q15" s="62"/>
      <c r="R15" s="62"/>
      <c r="S15" s="62"/>
      <c r="T15" s="62"/>
      <c r="U15" s="62"/>
      <c r="V15" s="62"/>
      <c r="W15" s="62"/>
      <c r="X15" s="62"/>
      <c r="Y15" s="62"/>
      <c r="Z15" s="62"/>
    </row>
    <row r="16">
      <c r="A16" s="61">
        <v>45971.0</v>
      </c>
      <c r="B16" s="61">
        <v>104724.0</v>
      </c>
      <c r="C16" s="61">
        <v>106565.0</v>
      </c>
      <c r="D16" s="61">
        <v>104351.0</v>
      </c>
      <c r="E16" s="61">
        <v>105997.0</v>
      </c>
      <c r="F16" s="61">
        <v>6.9585887229E10</v>
      </c>
      <c r="G16" s="61">
        <v>2.114307338735E12</v>
      </c>
      <c r="H16" s="62"/>
      <c r="I16" s="62"/>
      <c r="J16" s="62"/>
      <c r="K16" s="62"/>
      <c r="L16" s="62"/>
      <c r="M16" s="62"/>
      <c r="N16" s="62"/>
      <c r="O16" s="62"/>
      <c r="P16" s="62"/>
      <c r="Q16" s="62"/>
      <c r="R16" s="62"/>
      <c r="S16" s="62"/>
      <c r="T16" s="62"/>
      <c r="U16" s="62"/>
      <c r="V16" s="62"/>
      <c r="W16" s="62"/>
      <c r="X16" s="62"/>
      <c r="Y16" s="62"/>
      <c r="Z16" s="62"/>
    </row>
    <row r="17">
      <c r="A17" s="61">
        <v>45970.0</v>
      </c>
      <c r="B17" s="61">
        <v>102279.0</v>
      </c>
      <c r="C17" s="61">
        <v>105418.0</v>
      </c>
      <c r="D17" s="61">
        <v>101469.0</v>
      </c>
      <c r="E17" s="61">
        <v>104720.0</v>
      </c>
      <c r="F17" s="61">
        <v>5.9679243013E10</v>
      </c>
      <c r="G17" s="61">
        <v>2.088873006729E12</v>
      </c>
      <c r="H17" s="62"/>
      <c r="I17" s="62"/>
      <c r="J17" s="62"/>
      <c r="K17" s="62"/>
      <c r="L17" s="62"/>
      <c r="M17" s="62"/>
      <c r="N17" s="62"/>
      <c r="O17" s="62"/>
      <c r="P17" s="62"/>
      <c r="Q17" s="62"/>
      <c r="R17" s="62"/>
      <c r="S17" s="62"/>
      <c r="T17" s="62"/>
      <c r="U17" s="62"/>
      <c r="V17" s="62"/>
      <c r="W17" s="62"/>
      <c r="X17" s="62"/>
      <c r="Y17" s="62"/>
      <c r="Z17" s="62"/>
    </row>
    <row r="18">
      <c r="A18" s="61">
        <v>45969.0</v>
      </c>
      <c r="B18" s="61">
        <v>103372.0</v>
      </c>
      <c r="C18" s="61">
        <v>103374.0</v>
      </c>
      <c r="D18" s="61">
        <v>101458.0</v>
      </c>
      <c r="E18" s="61">
        <v>102282.0</v>
      </c>
      <c r="F18" s="61">
        <v>5.1446691095E10</v>
      </c>
      <c r="G18" s="61">
        <v>2.04007567864E12</v>
      </c>
      <c r="H18" s="62"/>
      <c r="I18" s="62"/>
      <c r="J18" s="62"/>
      <c r="K18" s="62"/>
      <c r="L18" s="62"/>
      <c r="M18" s="62"/>
      <c r="N18" s="62"/>
      <c r="O18" s="62"/>
      <c r="P18" s="62"/>
      <c r="Q18" s="62"/>
      <c r="R18" s="62"/>
      <c r="S18" s="62"/>
      <c r="T18" s="62"/>
      <c r="U18" s="62"/>
      <c r="V18" s="62"/>
      <c r="W18" s="62"/>
      <c r="X18" s="62"/>
      <c r="Y18" s="62"/>
      <c r="Z18" s="62"/>
    </row>
    <row r="19">
      <c r="A19" s="61">
        <v>45968.0</v>
      </c>
      <c r="B19" s="61">
        <v>101286.0</v>
      </c>
      <c r="C19" s="61">
        <v>104053.0</v>
      </c>
      <c r="D19" s="61">
        <v>99257.0</v>
      </c>
      <c r="E19" s="61">
        <v>103372.0</v>
      </c>
      <c r="F19" s="61">
        <v>9.2168030081E10</v>
      </c>
      <c r="G19" s="61">
        <v>2.061830246983E12</v>
      </c>
      <c r="H19" s="62"/>
      <c r="I19" s="62"/>
      <c r="J19" s="62"/>
      <c r="K19" s="62"/>
      <c r="L19" s="62"/>
      <c r="M19" s="62"/>
      <c r="N19" s="62"/>
      <c r="O19" s="62"/>
      <c r="P19" s="62"/>
      <c r="Q19" s="62"/>
      <c r="R19" s="62"/>
      <c r="S19" s="62"/>
      <c r="T19" s="62"/>
      <c r="U19" s="62"/>
      <c r="V19" s="62"/>
      <c r="W19" s="62"/>
      <c r="X19" s="62"/>
      <c r="Y19" s="62"/>
      <c r="Z19" s="62"/>
    </row>
    <row r="20">
      <c r="A20" s="61">
        <v>45967.0</v>
      </c>
      <c r="B20" s="61">
        <v>103894.0</v>
      </c>
      <c r="C20" s="61">
        <v>104147.0</v>
      </c>
      <c r="D20" s="62"/>
      <c r="E20" s="62"/>
      <c r="F20" s="62"/>
      <c r="G20" s="62"/>
      <c r="H20" s="62"/>
      <c r="I20" s="62"/>
      <c r="J20" s="62"/>
      <c r="K20" s="62"/>
      <c r="L20" s="62"/>
      <c r="M20" s="62"/>
      <c r="N20" s="62"/>
      <c r="O20" s="62"/>
      <c r="P20" s="62"/>
      <c r="Q20" s="62"/>
      <c r="R20" s="62"/>
      <c r="S20" s="62"/>
      <c r="T20" s="62"/>
      <c r="U20" s="62"/>
      <c r="V20" s="62"/>
      <c r="W20" s="62"/>
      <c r="X20" s="62"/>
      <c r="Y20" s="62"/>
      <c r="Z20" s="62"/>
    </row>
    <row r="2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row>
    <row r="22">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row>
    <row r="23">
      <c r="A23" s="62"/>
      <c r="B23" s="62"/>
      <c r="C23" s="62"/>
      <c r="D23" s="62"/>
      <c r="E23" s="62"/>
      <c r="F23" s="62"/>
      <c r="G23" s="62"/>
      <c r="H23" s="62"/>
      <c r="I23" s="62"/>
      <c r="J23" s="62"/>
      <c r="K23" s="62"/>
      <c r="L23" s="62"/>
      <c r="M23" s="62"/>
      <c r="N23" s="62"/>
      <c r="O23" s="62"/>
      <c r="P23" s="62"/>
      <c r="Q23" s="62"/>
      <c r="R23" s="62"/>
      <c r="S23" s="62"/>
      <c r="T23" s="62"/>
      <c r="U23" s="62"/>
      <c r="V23" s="62"/>
      <c r="W23" s="62"/>
      <c r="X23" s="62"/>
      <c r="Y23" s="62"/>
      <c r="Z23" s="62"/>
    </row>
    <row r="24">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row>
    <row r="25">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row>
    <row r="26">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row>
    <row r="27">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row>
    <row r="28">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row>
    <row r="29">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row>
    <row r="30">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row>
    <row r="31">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row>
    <row r="33">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row>
    <row r="34">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68</v>
      </c>
    </row>
    <row r="2">
      <c r="A2" s="8">
        <v>45986.0</v>
      </c>
      <c r="B2" s="6">
        <v>87342.0</v>
      </c>
      <c r="C2" s="9">
        <f t="shared" ref="C2:C20" si="1">AVERAGE(B2:B8)</f>
        <v>87472.57143</v>
      </c>
    </row>
    <row r="3">
      <c r="A3" s="10">
        <v>45985.0</v>
      </c>
      <c r="B3" s="6">
        <v>88271.0</v>
      </c>
      <c r="C3" s="9">
        <f t="shared" si="1"/>
        <v>88273.57143</v>
      </c>
    </row>
    <row r="4">
      <c r="A4" s="11">
        <v>45984.0</v>
      </c>
      <c r="B4" s="12">
        <v>88859.0</v>
      </c>
      <c r="C4" s="9">
        <f t="shared" si="1"/>
        <v>88819.71429</v>
      </c>
    </row>
    <row r="5">
      <c r="A5" s="13">
        <v>45983.0</v>
      </c>
      <c r="B5" s="14">
        <v>84648.0</v>
      </c>
      <c r="C5" s="9">
        <f t="shared" si="1"/>
        <v>89579.42857</v>
      </c>
    </row>
    <row r="6">
      <c r="A6" s="13">
        <v>45982.0</v>
      </c>
      <c r="B6" s="14">
        <v>85091.0</v>
      </c>
      <c r="C6" s="9">
        <f t="shared" si="1"/>
        <v>91136.71429</v>
      </c>
    </row>
    <row r="7">
      <c r="A7" s="13">
        <v>45981.0</v>
      </c>
      <c r="B7" s="14">
        <v>86631.0</v>
      </c>
      <c r="C7" s="9">
        <f t="shared" si="1"/>
        <v>92466.28571</v>
      </c>
    </row>
    <row r="8">
      <c r="A8" s="13">
        <v>45980.0</v>
      </c>
      <c r="B8" s="21">
        <v>91466.0</v>
      </c>
      <c r="C8" s="9">
        <f t="shared" si="1"/>
        <v>94332.85714</v>
      </c>
    </row>
    <row r="9">
      <c r="A9" s="13">
        <v>45979.0</v>
      </c>
      <c r="B9" s="21">
        <v>92949.0</v>
      </c>
      <c r="C9" s="9">
        <f t="shared" si="1"/>
        <v>95789.57143</v>
      </c>
    </row>
    <row r="10">
      <c r="A10" s="13">
        <v>45978.0</v>
      </c>
      <c r="B10" s="14">
        <v>92094.0</v>
      </c>
      <c r="C10" s="9">
        <f t="shared" si="1"/>
        <v>97225</v>
      </c>
    </row>
    <row r="11">
      <c r="A11" s="13">
        <v>45977.0</v>
      </c>
      <c r="B11" s="23">
        <v>94177.0</v>
      </c>
      <c r="C11" s="9">
        <f t="shared" si="1"/>
        <v>99211.14286</v>
      </c>
    </row>
    <row r="12">
      <c r="A12" s="13">
        <v>45976.0</v>
      </c>
      <c r="B12" s="23">
        <v>95549.0</v>
      </c>
      <c r="C12" s="9">
        <f t="shared" si="1"/>
        <v>100717.2857</v>
      </c>
    </row>
    <row r="13">
      <c r="A13" s="13">
        <v>45975.0</v>
      </c>
      <c r="B13" s="23">
        <v>94398.0</v>
      </c>
      <c r="C13" s="9">
        <f t="shared" si="1"/>
        <v>101679.1429</v>
      </c>
    </row>
    <row r="14">
      <c r="A14" s="13">
        <v>45974.0</v>
      </c>
      <c r="B14" s="23">
        <v>99697.0</v>
      </c>
      <c r="C14" s="9">
        <f t="shared" si="1"/>
        <v>102961.1429</v>
      </c>
    </row>
    <row r="15">
      <c r="A15" s="13">
        <v>45973.0</v>
      </c>
      <c r="B15" s="23">
        <v>101663.0</v>
      </c>
      <c r="C15" s="9">
        <f t="shared" si="1"/>
        <v>103505.1667</v>
      </c>
    </row>
    <row r="16">
      <c r="A16" s="13">
        <v>45972.0</v>
      </c>
      <c r="B16" s="23">
        <v>102997.0</v>
      </c>
      <c r="C16" s="9">
        <f t="shared" si="1"/>
        <v>103873.6</v>
      </c>
      <c r="E16" s="15" t="s">
        <v>69</v>
      </c>
    </row>
    <row r="17">
      <c r="A17" s="13">
        <v>45971.0</v>
      </c>
      <c r="B17" s="23">
        <v>105997.0</v>
      </c>
      <c r="C17" s="9">
        <f t="shared" si="1"/>
        <v>104092.75</v>
      </c>
    </row>
    <row r="18">
      <c r="A18" s="24">
        <v>45970.0</v>
      </c>
      <c r="B18" s="23">
        <v>104720.0</v>
      </c>
      <c r="C18" s="9">
        <f t="shared" si="1"/>
        <v>103458</v>
      </c>
    </row>
    <row r="19">
      <c r="A19" s="24">
        <v>45969.0</v>
      </c>
      <c r="B19" s="23">
        <v>102282.0</v>
      </c>
      <c r="C19" s="9">
        <f t="shared" si="1"/>
        <v>102827</v>
      </c>
    </row>
    <row r="20">
      <c r="A20" s="24">
        <v>45968.0</v>
      </c>
      <c r="B20" s="23">
        <v>103372.0</v>
      </c>
      <c r="C20" s="9">
        <f t="shared" si="1"/>
        <v>103372</v>
      </c>
    </row>
    <row r="21">
      <c r="B21" s="26"/>
      <c r="C21" s="9"/>
    </row>
    <row r="22">
      <c r="B22" s="26"/>
      <c r="C22" s="9"/>
    </row>
    <row r="23">
      <c r="B23" s="28"/>
      <c r="C23" s="9"/>
    </row>
    <row r="24">
      <c r="B24" s="28"/>
      <c r="C24" s="9"/>
    </row>
    <row r="25">
      <c r="B25" s="28"/>
      <c r="C25" s="9"/>
    </row>
    <row r="26">
      <c r="B26" s="28"/>
      <c r="C26" s="9"/>
    </row>
    <row r="27">
      <c r="B27" s="28"/>
      <c r="C27" s="9"/>
    </row>
    <row r="28">
      <c r="B28" s="28"/>
      <c r="C28" s="9"/>
    </row>
    <row r="29">
      <c r="B29" s="28"/>
      <c r="C29" s="9"/>
    </row>
    <row r="30">
      <c r="B30" s="28"/>
      <c r="C30" s="9"/>
    </row>
    <row r="31">
      <c r="B31" s="28"/>
      <c r="C31" s="9"/>
    </row>
    <row r="32">
      <c r="B32" s="28"/>
      <c r="C32" s="9"/>
    </row>
    <row r="33">
      <c r="B33" s="28"/>
      <c r="C33" s="9"/>
    </row>
    <row r="34">
      <c r="B34" s="28"/>
      <c r="C34" s="9"/>
    </row>
    <row r="35">
      <c r="B35" s="28"/>
      <c r="C35" s="9"/>
    </row>
    <row r="36">
      <c r="B36" s="28"/>
      <c r="C36" s="9"/>
    </row>
    <row r="37">
      <c r="B37" s="28"/>
      <c r="C37" s="9"/>
    </row>
    <row r="38">
      <c r="B38" s="28"/>
      <c r="C38" s="9"/>
    </row>
    <row r="39">
      <c r="B39" s="28"/>
      <c r="C39" s="9"/>
    </row>
    <row r="40">
      <c r="B40" s="28"/>
      <c r="C40" s="9"/>
    </row>
    <row r="41">
      <c r="B41" s="28"/>
      <c r="C41" s="9"/>
    </row>
    <row r="42">
      <c r="B42" s="28"/>
      <c r="C42" s="9"/>
    </row>
    <row r="43">
      <c r="B43" s="28"/>
      <c r="C43" s="9"/>
    </row>
    <row r="44">
      <c r="B44" s="28"/>
      <c r="C44" s="9"/>
    </row>
    <row r="45">
      <c r="B45" s="28"/>
      <c r="C45" s="9"/>
    </row>
    <row r="46">
      <c r="B46" s="28"/>
      <c r="C46" s="9"/>
    </row>
    <row r="47">
      <c r="B47" s="28"/>
      <c r="C47" s="9"/>
    </row>
    <row r="48">
      <c r="B48" s="28"/>
      <c r="C48" s="9"/>
    </row>
    <row r="49">
      <c r="B49" s="28"/>
      <c r="C49" s="9"/>
    </row>
    <row r="50">
      <c r="B50" s="28"/>
      <c r="C50" s="9"/>
    </row>
    <row r="51">
      <c r="B51" s="28"/>
      <c r="C51" s="9"/>
    </row>
    <row r="52">
      <c r="B52" s="28"/>
      <c r="C52" s="9"/>
    </row>
    <row r="53">
      <c r="B53" s="28"/>
      <c r="C53" s="9"/>
    </row>
    <row r="54">
      <c r="B54" s="28"/>
      <c r="C54" s="9"/>
    </row>
    <row r="55">
      <c r="B55" s="28"/>
      <c r="C55" s="9"/>
    </row>
    <row r="56">
      <c r="B56" s="28"/>
      <c r="C56" s="9"/>
    </row>
    <row r="57">
      <c r="B57" s="28"/>
      <c r="C57" s="9"/>
    </row>
    <row r="58">
      <c r="B58" s="28"/>
      <c r="C58" s="9"/>
    </row>
    <row r="59">
      <c r="B59" s="28"/>
      <c r="C59" s="9"/>
    </row>
    <row r="60">
      <c r="B60" s="28"/>
      <c r="C60" s="9"/>
    </row>
    <row r="61">
      <c r="B61" s="28"/>
      <c r="C61" s="9"/>
    </row>
    <row r="62">
      <c r="B62" s="28"/>
      <c r="C62" s="9"/>
    </row>
    <row r="63">
      <c r="B63" s="28"/>
      <c r="C63" s="9"/>
    </row>
    <row r="64">
      <c r="B64" s="28"/>
      <c r="C64" s="9"/>
    </row>
    <row r="65">
      <c r="B65" s="28"/>
      <c r="C65" s="9"/>
    </row>
    <row r="66">
      <c r="B66" s="28"/>
      <c r="C66" s="9"/>
    </row>
    <row r="67">
      <c r="B67" s="28"/>
      <c r="C67" s="9"/>
    </row>
    <row r="68">
      <c r="B68" s="28"/>
      <c r="C68" s="9"/>
    </row>
    <row r="69">
      <c r="B69" s="28"/>
      <c r="C69" s="9"/>
    </row>
    <row r="70">
      <c r="B70" s="28"/>
      <c r="C70" s="9"/>
    </row>
    <row r="71">
      <c r="B71" s="28"/>
      <c r="C71" s="9"/>
    </row>
    <row r="72">
      <c r="B72" s="28"/>
      <c r="C72" s="9"/>
    </row>
    <row r="73">
      <c r="B73" s="28"/>
      <c r="C73" s="9"/>
    </row>
    <row r="74">
      <c r="B74" s="28"/>
      <c r="C74" s="9"/>
    </row>
    <row r="75">
      <c r="B75" s="28"/>
      <c r="C75" s="9"/>
    </row>
    <row r="76">
      <c r="B76" s="28"/>
      <c r="C76" s="9"/>
    </row>
    <row r="77">
      <c r="B77" s="28"/>
      <c r="C77" s="9"/>
    </row>
    <row r="78">
      <c r="B78" s="28"/>
      <c r="C78" s="9"/>
    </row>
    <row r="79">
      <c r="B79" s="28"/>
      <c r="C79" s="9"/>
    </row>
    <row r="80">
      <c r="B80" s="28"/>
      <c r="C80" s="9"/>
    </row>
    <row r="81">
      <c r="B81" s="28"/>
      <c r="C81" s="9"/>
    </row>
    <row r="82">
      <c r="B82" s="28"/>
      <c r="C82" s="9"/>
    </row>
    <row r="83">
      <c r="B83" s="28"/>
      <c r="C83" s="9"/>
    </row>
    <row r="84">
      <c r="B84" s="28"/>
      <c r="C84" s="9"/>
    </row>
    <row r="85">
      <c r="B85" s="28"/>
      <c r="C85" s="9"/>
    </row>
    <row r="86">
      <c r="B86" s="28"/>
      <c r="C86" s="9"/>
    </row>
    <row r="87">
      <c r="B87" s="28"/>
      <c r="C87" s="9"/>
    </row>
    <row r="88">
      <c r="B88" s="28"/>
      <c r="C88" s="9"/>
    </row>
    <row r="89">
      <c r="B89" s="28"/>
      <c r="C89" s="9"/>
    </row>
    <row r="90">
      <c r="B90" s="28"/>
      <c r="C90" s="9"/>
    </row>
    <row r="91">
      <c r="B91" s="28"/>
      <c r="C91" s="9"/>
    </row>
    <row r="92">
      <c r="B92" s="28"/>
      <c r="C92" s="9"/>
    </row>
    <row r="93">
      <c r="B93" s="28"/>
      <c r="C93" s="9"/>
    </row>
    <row r="94">
      <c r="B94" s="28"/>
      <c r="C94" s="9"/>
    </row>
    <row r="95">
      <c r="B95" s="28"/>
      <c r="C95" s="9"/>
    </row>
    <row r="96">
      <c r="B96" s="28"/>
      <c r="C96" s="9"/>
    </row>
    <row r="97">
      <c r="B97" s="28"/>
      <c r="C97" s="9"/>
    </row>
    <row r="98">
      <c r="B98" s="28"/>
      <c r="C98" s="9"/>
    </row>
    <row r="99">
      <c r="B99" s="28"/>
      <c r="C99" s="9"/>
    </row>
    <row r="100">
      <c r="B100" s="28"/>
      <c r="C100" s="9"/>
    </row>
    <row r="101">
      <c r="B101" s="28"/>
      <c r="C101" s="9"/>
    </row>
    <row r="102">
      <c r="B102" s="28"/>
      <c r="C102" s="9"/>
    </row>
    <row r="103">
      <c r="B103" s="28"/>
      <c r="C103" s="9"/>
    </row>
    <row r="104">
      <c r="B104" s="28"/>
      <c r="C104" s="9"/>
    </row>
    <row r="105">
      <c r="B105" s="28"/>
      <c r="C105" s="9"/>
    </row>
    <row r="106">
      <c r="B106" s="28"/>
      <c r="C106" s="9"/>
    </row>
    <row r="107">
      <c r="B107" s="28"/>
      <c r="C107" s="9"/>
    </row>
    <row r="108">
      <c r="B108" s="28"/>
      <c r="C108" s="9"/>
    </row>
    <row r="109">
      <c r="B109" s="28"/>
      <c r="C109" s="9"/>
    </row>
    <row r="110">
      <c r="B110" s="28"/>
      <c r="C110" s="9"/>
    </row>
    <row r="111">
      <c r="B111" s="28"/>
      <c r="C111" s="9"/>
    </row>
    <row r="112">
      <c r="B112" s="28"/>
      <c r="C112" s="9"/>
    </row>
    <row r="113">
      <c r="B113" s="28"/>
      <c r="C113" s="9"/>
    </row>
    <row r="114">
      <c r="B114" s="28"/>
      <c r="C114" s="9"/>
    </row>
    <row r="115">
      <c r="B115" s="28"/>
      <c r="C115" s="9"/>
    </row>
    <row r="116">
      <c r="B116" s="28"/>
      <c r="C116" s="9"/>
    </row>
    <row r="117">
      <c r="B117" s="28"/>
      <c r="C117" s="9"/>
    </row>
    <row r="118">
      <c r="B118" s="28"/>
      <c r="C118" s="9"/>
    </row>
    <row r="119">
      <c r="B119" s="28"/>
      <c r="C119" s="9"/>
    </row>
    <row r="120">
      <c r="B120" s="28"/>
      <c r="C120" s="9"/>
    </row>
    <row r="121">
      <c r="B121" s="28"/>
      <c r="C121" s="9"/>
    </row>
    <row r="122">
      <c r="B122" s="28"/>
      <c r="C122" s="9"/>
    </row>
    <row r="123">
      <c r="B123" s="28"/>
      <c r="C123" s="9"/>
    </row>
    <row r="124">
      <c r="B124" s="28"/>
      <c r="C124" s="9"/>
    </row>
    <row r="125">
      <c r="B125" s="28"/>
      <c r="C125" s="9"/>
    </row>
    <row r="126">
      <c r="B126" s="28"/>
      <c r="C126" s="9"/>
    </row>
    <row r="127">
      <c r="B127" s="28"/>
      <c r="C127" s="9"/>
    </row>
    <row r="128">
      <c r="B128" s="28"/>
      <c r="C128" s="9"/>
    </row>
    <row r="129">
      <c r="B129" s="28"/>
      <c r="C129" s="9"/>
    </row>
    <row r="130">
      <c r="B130" s="28"/>
      <c r="C130" s="9"/>
    </row>
    <row r="131">
      <c r="B131" s="28"/>
      <c r="C131" s="9"/>
    </row>
    <row r="132">
      <c r="B132" s="28"/>
      <c r="C132" s="9"/>
    </row>
    <row r="133">
      <c r="B133" s="28"/>
      <c r="C133" s="9"/>
    </row>
    <row r="134">
      <c r="B134" s="28"/>
      <c r="C134" s="9"/>
    </row>
    <row r="135">
      <c r="B135" s="28"/>
      <c r="C135" s="9"/>
    </row>
    <row r="136">
      <c r="B136" s="28"/>
      <c r="C136" s="9"/>
    </row>
    <row r="137">
      <c r="B137" s="28"/>
      <c r="C137" s="9"/>
    </row>
    <row r="138">
      <c r="B138" s="28"/>
      <c r="C138" s="9"/>
    </row>
    <row r="139">
      <c r="B139" s="28"/>
      <c r="C139" s="9"/>
    </row>
    <row r="140">
      <c r="B140" s="28"/>
      <c r="C140" s="9"/>
    </row>
    <row r="141">
      <c r="B141" s="28"/>
      <c r="C141" s="9"/>
    </row>
    <row r="142">
      <c r="B142" s="28"/>
      <c r="C142" s="9"/>
    </row>
    <row r="143">
      <c r="B143" s="28"/>
      <c r="C143" s="9"/>
    </row>
    <row r="144">
      <c r="B144" s="28"/>
      <c r="C144" s="9"/>
    </row>
    <row r="145">
      <c r="B145" s="28"/>
      <c r="C145" s="9"/>
    </row>
    <row r="146">
      <c r="B146" s="28"/>
      <c r="C146" s="9"/>
    </row>
    <row r="147">
      <c r="B147" s="28"/>
      <c r="C147" s="9"/>
    </row>
    <row r="148">
      <c r="B148" s="28"/>
      <c r="C148" s="9"/>
    </row>
    <row r="149">
      <c r="B149" s="28"/>
      <c r="C149" s="9"/>
    </row>
    <row r="150">
      <c r="B150" s="28"/>
      <c r="C150" s="9"/>
    </row>
    <row r="151">
      <c r="B151" s="28"/>
      <c r="C151" s="9"/>
    </row>
    <row r="152">
      <c r="B152" s="28"/>
      <c r="C152" s="9"/>
    </row>
    <row r="153">
      <c r="B153" s="28"/>
      <c r="C153" s="9"/>
    </row>
    <row r="154">
      <c r="B154" s="28"/>
      <c r="C154" s="9"/>
    </row>
    <row r="155">
      <c r="B155" s="28"/>
      <c r="C155" s="9"/>
    </row>
    <row r="156">
      <c r="B156" s="28"/>
      <c r="C156" s="9"/>
    </row>
    <row r="157">
      <c r="B157" s="28"/>
      <c r="C157" s="9"/>
    </row>
    <row r="158">
      <c r="B158" s="28"/>
      <c r="C158" s="9"/>
    </row>
    <row r="159">
      <c r="B159" s="28"/>
      <c r="C159" s="9"/>
    </row>
    <row r="160">
      <c r="B160" s="28"/>
      <c r="C160" s="9"/>
    </row>
    <row r="161">
      <c r="B161" s="28"/>
      <c r="C161" s="9"/>
    </row>
    <row r="162">
      <c r="B162" s="28"/>
      <c r="C162" s="9"/>
    </row>
    <row r="163">
      <c r="B163" s="28"/>
      <c r="C163" s="9"/>
    </row>
    <row r="164">
      <c r="B164" s="28"/>
      <c r="C164" s="9"/>
    </row>
    <row r="165">
      <c r="B165" s="28"/>
      <c r="C165" s="9"/>
    </row>
    <row r="166">
      <c r="B166" s="28"/>
      <c r="C166" s="9"/>
    </row>
    <row r="167">
      <c r="B167" s="28"/>
      <c r="C167" s="9"/>
    </row>
    <row r="168">
      <c r="B168" s="28"/>
      <c r="C168" s="9"/>
    </row>
    <row r="169">
      <c r="B169" s="28"/>
      <c r="C169" s="9"/>
    </row>
    <row r="170">
      <c r="B170" s="28"/>
      <c r="C170" s="9"/>
    </row>
    <row r="171">
      <c r="B171" s="28"/>
      <c r="C171" s="9"/>
    </row>
    <row r="172">
      <c r="B172" s="28"/>
      <c r="C172" s="9"/>
    </row>
    <row r="173">
      <c r="B173" s="28"/>
      <c r="C173" s="9"/>
    </row>
    <row r="174">
      <c r="B174" s="28"/>
      <c r="C174" s="9"/>
    </row>
    <row r="175">
      <c r="B175" s="28"/>
      <c r="C175" s="9"/>
    </row>
    <row r="176">
      <c r="B176" s="28"/>
      <c r="C176" s="9"/>
    </row>
    <row r="177">
      <c r="B177" s="28"/>
      <c r="C177" s="9"/>
    </row>
    <row r="178">
      <c r="B178" s="28"/>
      <c r="C178" s="9"/>
    </row>
    <row r="179">
      <c r="B179" s="28"/>
      <c r="C179" s="9"/>
    </row>
    <row r="180">
      <c r="B180" s="28"/>
      <c r="C180" s="9"/>
    </row>
    <row r="181">
      <c r="B181" s="28"/>
      <c r="C181" s="9"/>
    </row>
    <row r="182">
      <c r="B182" s="28"/>
      <c r="C182" s="9"/>
    </row>
    <row r="183">
      <c r="B183" s="28"/>
      <c r="C183" s="9"/>
    </row>
    <row r="184">
      <c r="B184" s="28"/>
      <c r="C184" s="9"/>
    </row>
    <row r="185">
      <c r="B185" s="28"/>
      <c r="C185" s="9"/>
    </row>
    <row r="186">
      <c r="B186" s="28"/>
      <c r="C186" s="9"/>
    </row>
    <row r="187">
      <c r="B187" s="28"/>
      <c r="C187" s="9"/>
    </row>
    <row r="188">
      <c r="B188" s="28"/>
      <c r="C188" s="9"/>
    </row>
    <row r="189">
      <c r="B189" s="28"/>
      <c r="C189" s="9"/>
    </row>
    <row r="190">
      <c r="B190" s="28"/>
      <c r="C190" s="9"/>
    </row>
    <row r="191">
      <c r="B191" s="28"/>
      <c r="C191" s="9"/>
    </row>
    <row r="192">
      <c r="B192" s="28"/>
      <c r="C192" s="9"/>
    </row>
    <row r="193">
      <c r="B193" s="28"/>
      <c r="C193" s="9"/>
    </row>
    <row r="194">
      <c r="B194" s="28"/>
      <c r="C194" s="9"/>
    </row>
    <row r="195">
      <c r="B195" s="28"/>
      <c r="C195" s="9"/>
    </row>
    <row r="196">
      <c r="B196" s="28"/>
      <c r="C196" s="9"/>
    </row>
    <row r="197">
      <c r="B197" s="28"/>
      <c r="C197" s="9"/>
    </row>
    <row r="198">
      <c r="B198" s="28"/>
      <c r="C198" s="9"/>
    </row>
    <row r="199">
      <c r="B199" s="28"/>
      <c r="C199" s="9"/>
    </row>
    <row r="200">
      <c r="B200" s="28"/>
      <c r="C200" s="9"/>
    </row>
    <row r="201">
      <c r="B201" s="28"/>
      <c r="C201" s="9"/>
    </row>
    <row r="202">
      <c r="B202" s="28"/>
      <c r="C202" s="9"/>
    </row>
    <row r="203">
      <c r="B203" s="28"/>
      <c r="C203" s="9"/>
    </row>
    <row r="204">
      <c r="B204" s="28"/>
      <c r="C204" s="9"/>
    </row>
    <row r="205">
      <c r="B205" s="28"/>
      <c r="C205" s="9"/>
    </row>
    <row r="206">
      <c r="B206" s="28"/>
      <c r="C206" s="9"/>
    </row>
    <row r="207">
      <c r="B207" s="28"/>
      <c r="C207" s="9"/>
    </row>
    <row r="208">
      <c r="B208" s="28"/>
      <c r="C208" s="9"/>
    </row>
    <row r="209">
      <c r="B209" s="28"/>
      <c r="C209" s="9"/>
    </row>
    <row r="210">
      <c r="B210" s="28"/>
      <c r="C210" s="9"/>
    </row>
    <row r="211">
      <c r="B211" s="28"/>
      <c r="C211" s="9"/>
    </row>
    <row r="212">
      <c r="B212" s="28"/>
      <c r="C212" s="9"/>
    </row>
    <row r="213">
      <c r="B213" s="28"/>
      <c r="C213" s="9"/>
    </row>
    <row r="214">
      <c r="B214" s="28"/>
      <c r="C214" s="9"/>
    </row>
    <row r="215">
      <c r="B215" s="28"/>
      <c r="C215" s="9"/>
    </row>
    <row r="216">
      <c r="B216" s="28"/>
      <c r="C216" s="9"/>
    </row>
    <row r="217">
      <c r="B217" s="28"/>
      <c r="C217" s="9"/>
    </row>
    <row r="218">
      <c r="B218" s="28"/>
      <c r="C218" s="9"/>
    </row>
    <row r="219">
      <c r="B219" s="28"/>
      <c r="C219" s="9"/>
    </row>
    <row r="220">
      <c r="B220" s="28"/>
      <c r="C220" s="9"/>
    </row>
    <row r="221">
      <c r="B221" s="28"/>
      <c r="C221" s="9"/>
    </row>
    <row r="222">
      <c r="B222" s="28"/>
      <c r="C222" s="9"/>
    </row>
    <row r="223">
      <c r="B223" s="28"/>
      <c r="C223" s="9"/>
    </row>
    <row r="224">
      <c r="B224" s="28"/>
      <c r="C224" s="9"/>
    </row>
    <row r="225">
      <c r="B225" s="28"/>
      <c r="C225" s="9"/>
    </row>
    <row r="226">
      <c r="B226" s="28"/>
      <c r="C226" s="9"/>
    </row>
    <row r="227">
      <c r="B227" s="28"/>
      <c r="C227" s="9"/>
    </row>
    <row r="228">
      <c r="B228" s="28"/>
      <c r="C228" s="9"/>
    </row>
    <row r="229">
      <c r="B229" s="28"/>
      <c r="C229" s="9"/>
    </row>
    <row r="230">
      <c r="B230" s="28"/>
      <c r="C230" s="9"/>
    </row>
    <row r="231">
      <c r="B231" s="28"/>
      <c r="C231" s="9"/>
    </row>
    <row r="232">
      <c r="B232" s="28"/>
      <c r="C232" s="9"/>
    </row>
    <row r="233">
      <c r="B233" s="28"/>
      <c r="C233" s="9"/>
    </row>
    <row r="234">
      <c r="B234" s="28"/>
      <c r="C234" s="9"/>
    </row>
    <row r="235">
      <c r="B235" s="28"/>
      <c r="C235" s="9"/>
    </row>
    <row r="236">
      <c r="B236" s="28"/>
      <c r="C236" s="9"/>
    </row>
    <row r="237">
      <c r="B237" s="28"/>
      <c r="C237" s="9"/>
    </row>
    <row r="238">
      <c r="B238" s="28"/>
      <c r="C238" s="9"/>
    </row>
    <row r="239">
      <c r="B239" s="28"/>
      <c r="C239" s="9"/>
    </row>
    <row r="240">
      <c r="B240" s="28"/>
      <c r="C240" s="9"/>
    </row>
    <row r="241">
      <c r="B241" s="28"/>
      <c r="C241" s="9"/>
    </row>
    <row r="242">
      <c r="B242" s="28"/>
      <c r="C242" s="9"/>
    </row>
    <row r="243">
      <c r="B243" s="28"/>
      <c r="C243" s="9"/>
    </row>
    <row r="244">
      <c r="B244" s="28"/>
      <c r="C244" s="9"/>
    </row>
    <row r="245">
      <c r="B245" s="28"/>
      <c r="C245" s="9"/>
    </row>
    <row r="246">
      <c r="B246" s="28"/>
      <c r="C246" s="9"/>
    </row>
    <row r="247">
      <c r="B247" s="28"/>
      <c r="C247" s="9"/>
    </row>
    <row r="248">
      <c r="B248" s="28"/>
      <c r="C248" s="9"/>
    </row>
    <row r="249">
      <c r="B249" s="28"/>
      <c r="C249" s="9"/>
    </row>
    <row r="250">
      <c r="B250" s="28"/>
      <c r="C250" s="9"/>
    </row>
    <row r="251">
      <c r="B251" s="28"/>
      <c r="C251" s="9"/>
    </row>
    <row r="252">
      <c r="B252" s="28"/>
      <c r="C252" s="9"/>
    </row>
    <row r="253">
      <c r="B253" s="28"/>
      <c r="C253" s="9"/>
    </row>
    <row r="254">
      <c r="B254" s="28"/>
      <c r="C254" s="9"/>
    </row>
    <row r="255">
      <c r="B255" s="28"/>
      <c r="C255" s="9"/>
    </row>
    <row r="256">
      <c r="B256" s="28"/>
      <c r="C256" s="9"/>
    </row>
    <row r="257">
      <c r="B257" s="28"/>
      <c r="C257" s="9"/>
    </row>
    <row r="258">
      <c r="B258" s="28"/>
      <c r="C258" s="9"/>
    </row>
    <row r="259">
      <c r="B259" s="28"/>
      <c r="C259" s="9"/>
    </row>
    <row r="260">
      <c r="B260" s="28"/>
      <c r="C260" s="9"/>
    </row>
    <row r="261">
      <c r="B261" s="28"/>
      <c r="C261" s="9"/>
    </row>
    <row r="262">
      <c r="B262" s="28"/>
      <c r="C262" s="9"/>
    </row>
    <row r="263">
      <c r="B263" s="28"/>
      <c r="C263" s="9"/>
    </row>
    <row r="264">
      <c r="B264" s="28"/>
      <c r="C264" s="9"/>
    </row>
    <row r="265">
      <c r="B265" s="28"/>
      <c r="C265" s="9"/>
    </row>
    <row r="266">
      <c r="B266" s="28"/>
      <c r="C266" s="9"/>
    </row>
    <row r="267">
      <c r="B267" s="28"/>
      <c r="C267" s="9"/>
    </row>
    <row r="268">
      <c r="B268" s="28"/>
      <c r="C268" s="9"/>
    </row>
    <row r="269">
      <c r="B269" s="28"/>
      <c r="C269" s="9"/>
    </row>
    <row r="270">
      <c r="B270" s="28"/>
      <c r="C270" s="9"/>
    </row>
    <row r="271">
      <c r="B271" s="28"/>
      <c r="C271" s="9"/>
    </row>
    <row r="272">
      <c r="B272" s="28"/>
      <c r="C272" s="9"/>
    </row>
    <row r="273">
      <c r="B273" s="28"/>
      <c r="C273" s="9"/>
    </row>
    <row r="274">
      <c r="B274" s="28"/>
      <c r="C274" s="9"/>
    </row>
    <row r="275">
      <c r="B275" s="28"/>
      <c r="C275" s="9"/>
    </row>
    <row r="276">
      <c r="B276" s="28"/>
      <c r="C276" s="9"/>
    </row>
    <row r="277">
      <c r="B277" s="28"/>
      <c r="C277" s="9"/>
    </row>
    <row r="278">
      <c r="B278" s="28"/>
      <c r="C278" s="9"/>
    </row>
    <row r="279">
      <c r="B279" s="28"/>
      <c r="C279" s="9"/>
    </row>
    <row r="280">
      <c r="B280" s="28"/>
      <c r="C280" s="9"/>
    </row>
    <row r="281">
      <c r="B281" s="28"/>
      <c r="C281" s="9"/>
    </row>
    <row r="282">
      <c r="B282" s="28"/>
      <c r="C282" s="9"/>
    </row>
    <row r="283">
      <c r="B283" s="28"/>
      <c r="C283" s="9"/>
    </row>
    <row r="284">
      <c r="B284" s="28"/>
      <c r="C284" s="9"/>
    </row>
    <row r="285">
      <c r="B285" s="28"/>
      <c r="C285" s="9"/>
    </row>
    <row r="286">
      <c r="B286" s="28"/>
      <c r="C286" s="9"/>
    </row>
    <row r="287">
      <c r="B287" s="28"/>
      <c r="C287" s="9"/>
    </row>
    <row r="288">
      <c r="B288" s="28"/>
      <c r="C288" s="9"/>
    </row>
    <row r="289">
      <c r="B289" s="28"/>
      <c r="C289" s="9"/>
    </row>
    <row r="290">
      <c r="B290" s="28"/>
      <c r="C290" s="9"/>
    </row>
    <row r="291">
      <c r="B291" s="28"/>
      <c r="C291" s="9"/>
    </row>
    <row r="292">
      <c r="B292" s="28"/>
      <c r="C292" s="9"/>
    </row>
    <row r="293">
      <c r="B293" s="28"/>
      <c r="C293" s="9"/>
    </row>
    <row r="294">
      <c r="B294" s="28"/>
      <c r="C294" s="9"/>
    </row>
    <row r="295">
      <c r="B295" s="28"/>
      <c r="C295" s="9"/>
    </row>
    <row r="296">
      <c r="B296" s="28"/>
      <c r="C296" s="9"/>
    </row>
    <row r="297">
      <c r="B297" s="28"/>
      <c r="C297" s="9"/>
    </row>
    <row r="298">
      <c r="B298" s="28"/>
      <c r="C298" s="9"/>
    </row>
    <row r="299">
      <c r="B299" s="28"/>
      <c r="C299" s="9"/>
    </row>
    <row r="300">
      <c r="B300" s="28"/>
      <c r="C300" s="9"/>
    </row>
    <row r="301">
      <c r="B301" s="28"/>
      <c r="C301" s="9"/>
    </row>
    <row r="302">
      <c r="B302" s="28"/>
      <c r="C302" s="9"/>
    </row>
    <row r="303">
      <c r="B303" s="28"/>
      <c r="C303" s="9"/>
    </row>
    <row r="304">
      <c r="B304" s="28"/>
      <c r="C304" s="9"/>
    </row>
    <row r="305">
      <c r="B305" s="28"/>
      <c r="C305" s="9"/>
    </row>
    <row r="306">
      <c r="B306" s="28"/>
      <c r="C306" s="9"/>
    </row>
    <row r="307">
      <c r="B307" s="28"/>
      <c r="C307" s="9"/>
    </row>
    <row r="308">
      <c r="B308" s="28"/>
      <c r="C308" s="9"/>
    </row>
    <row r="309">
      <c r="B309" s="28"/>
      <c r="C309" s="9"/>
    </row>
    <row r="310">
      <c r="B310" s="28"/>
      <c r="C310" s="9"/>
    </row>
    <row r="311">
      <c r="B311" s="28"/>
      <c r="C311" s="9"/>
    </row>
    <row r="312">
      <c r="B312" s="28"/>
      <c r="C312" s="9"/>
    </row>
    <row r="313">
      <c r="B313" s="28"/>
      <c r="C313" s="9"/>
    </row>
    <row r="314">
      <c r="B314" s="28"/>
      <c r="C314" s="9"/>
    </row>
    <row r="315">
      <c r="B315" s="28"/>
      <c r="C315" s="9"/>
    </row>
    <row r="316">
      <c r="B316" s="28"/>
      <c r="C316" s="9"/>
    </row>
    <row r="317">
      <c r="B317" s="28"/>
      <c r="C317" s="9"/>
    </row>
    <row r="318">
      <c r="B318" s="28"/>
      <c r="C318" s="9"/>
    </row>
    <row r="319">
      <c r="B319" s="28"/>
      <c r="C319" s="9"/>
    </row>
    <row r="320">
      <c r="B320" s="28"/>
      <c r="C320" s="9"/>
    </row>
    <row r="321">
      <c r="B321" s="28"/>
      <c r="C321" s="9"/>
    </row>
    <row r="322">
      <c r="B322" s="28"/>
      <c r="C322" s="9"/>
    </row>
    <row r="323">
      <c r="B323" s="28"/>
      <c r="C323" s="9"/>
    </row>
    <row r="324">
      <c r="B324" s="28"/>
      <c r="C324" s="9"/>
    </row>
    <row r="325">
      <c r="B325" s="28"/>
      <c r="C325" s="9"/>
    </row>
    <row r="326">
      <c r="B326" s="28"/>
      <c r="C326" s="9"/>
    </row>
    <row r="327">
      <c r="B327" s="28"/>
      <c r="C327" s="9"/>
    </row>
    <row r="328">
      <c r="B328" s="28"/>
      <c r="C328" s="9"/>
    </row>
    <row r="329">
      <c r="B329" s="28"/>
      <c r="C329" s="9"/>
    </row>
    <row r="330">
      <c r="B330" s="28"/>
      <c r="C330" s="9"/>
    </row>
    <row r="331">
      <c r="B331" s="28"/>
      <c r="C331" s="9"/>
    </row>
    <row r="332">
      <c r="B332" s="28"/>
      <c r="C332" s="9"/>
    </row>
    <row r="333">
      <c r="B333" s="28"/>
      <c r="C333" s="9"/>
    </row>
    <row r="334">
      <c r="B334" s="28"/>
      <c r="C334" s="9"/>
    </row>
    <row r="335">
      <c r="B335" s="28"/>
      <c r="C335" s="9"/>
    </row>
    <row r="336">
      <c r="B336" s="28"/>
      <c r="C336" s="9"/>
    </row>
    <row r="337">
      <c r="B337" s="28"/>
      <c r="C337" s="9"/>
    </row>
    <row r="338">
      <c r="B338" s="28"/>
      <c r="C338" s="9"/>
    </row>
    <row r="339">
      <c r="B339" s="28"/>
      <c r="C339" s="9"/>
    </row>
    <row r="340">
      <c r="B340" s="28"/>
      <c r="C340" s="9"/>
    </row>
    <row r="341">
      <c r="B341" s="28"/>
      <c r="C341" s="9"/>
    </row>
    <row r="342">
      <c r="B342" s="28"/>
      <c r="C342" s="9"/>
    </row>
    <row r="343">
      <c r="B343" s="28"/>
      <c r="C343" s="9"/>
    </row>
    <row r="344">
      <c r="B344" s="28"/>
      <c r="C344" s="9"/>
    </row>
    <row r="345">
      <c r="B345" s="28"/>
      <c r="C345" s="9"/>
    </row>
    <row r="346">
      <c r="B346" s="28"/>
      <c r="C346" s="9"/>
    </row>
    <row r="347">
      <c r="B347" s="28"/>
      <c r="C347" s="9"/>
    </row>
    <row r="348">
      <c r="B348" s="28"/>
      <c r="C348" s="9"/>
    </row>
    <row r="349">
      <c r="B349" s="28"/>
      <c r="C349" s="9"/>
    </row>
    <row r="350">
      <c r="B350" s="28"/>
      <c r="C350" s="9"/>
    </row>
    <row r="351">
      <c r="B351" s="28"/>
      <c r="C351" s="9"/>
    </row>
    <row r="352">
      <c r="B352" s="28"/>
      <c r="C352" s="9"/>
    </row>
    <row r="353">
      <c r="B353" s="28"/>
      <c r="C353" s="9"/>
    </row>
    <row r="354">
      <c r="B354" s="28"/>
      <c r="C354" s="9"/>
    </row>
    <row r="355">
      <c r="B355" s="28"/>
      <c r="C355" s="9"/>
    </row>
    <row r="356">
      <c r="B356" s="28"/>
      <c r="C356" s="9"/>
    </row>
    <row r="357">
      <c r="B357" s="28"/>
      <c r="C357" s="9"/>
    </row>
    <row r="358">
      <c r="B358" s="28"/>
      <c r="C358" s="9"/>
    </row>
    <row r="359">
      <c r="B359" s="28"/>
      <c r="C359" s="9"/>
    </row>
    <row r="360">
      <c r="B360" s="28"/>
      <c r="C360" s="9"/>
    </row>
    <row r="361">
      <c r="B361" s="28"/>
      <c r="C361" s="9"/>
    </row>
    <row r="362">
      <c r="B362" s="28"/>
      <c r="C362" s="9"/>
    </row>
    <row r="363">
      <c r="B363" s="28"/>
      <c r="C363" s="9"/>
    </row>
    <row r="364">
      <c r="B364" s="28"/>
      <c r="C364" s="9"/>
    </row>
    <row r="365">
      <c r="B365" s="28"/>
      <c r="C365" s="9"/>
    </row>
    <row r="366">
      <c r="B366" s="28"/>
      <c r="C366" s="9"/>
    </row>
    <row r="367">
      <c r="B367" s="28"/>
      <c r="C367" s="9"/>
    </row>
    <row r="368">
      <c r="B368" s="28"/>
      <c r="C368" s="9"/>
    </row>
    <row r="369">
      <c r="B369" s="28"/>
      <c r="C369" s="9"/>
    </row>
    <row r="370">
      <c r="B370" s="28"/>
      <c r="C370" s="9"/>
    </row>
    <row r="371">
      <c r="B371" s="28"/>
      <c r="C371" s="9"/>
    </row>
    <row r="372">
      <c r="B372" s="28"/>
      <c r="C372" s="9"/>
    </row>
    <row r="373">
      <c r="B373" s="28"/>
      <c r="C373" s="9"/>
    </row>
    <row r="374">
      <c r="B374" s="28"/>
      <c r="C374" s="9"/>
    </row>
    <row r="375">
      <c r="B375" s="28"/>
      <c r="C375" s="9"/>
    </row>
    <row r="376">
      <c r="B376" s="28"/>
      <c r="C376" s="9"/>
    </row>
    <row r="377">
      <c r="B377" s="28"/>
      <c r="C377" s="9"/>
    </row>
    <row r="378">
      <c r="B378" s="28"/>
      <c r="C378" s="9"/>
    </row>
    <row r="379">
      <c r="B379" s="28"/>
      <c r="C379" s="9"/>
    </row>
    <row r="380">
      <c r="B380" s="28"/>
      <c r="C380" s="9"/>
    </row>
    <row r="381">
      <c r="B381" s="28"/>
      <c r="C381" s="9"/>
    </row>
    <row r="382">
      <c r="B382" s="28"/>
      <c r="C382" s="9"/>
    </row>
    <row r="383">
      <c r="B383" s="28"/>
      <c r="C383" s="9"/>
    </row>
    <row r="384">
      <c r="B384" s="28"/>
      <c r="C384" s="9"/>
    </row>
    <row r="385">
      <c r="B385" s="28"/>
      <c r="C385" s="9"/>
    </row>
    <row r="386">
      <c r="B386" s="28"/>
      <c r="C386" s="9"/>
    </row>
    <row r="387">
      <c r="B387" s="28"/>
      <c r="C387" s="9"/>
    </row>
    <row r="388">
      <c r="B388" s="28"/>
      <c r="C388" s="9"/>
    </row>
    <row r="389">
      <c r="B389" s="28"/>
      <c r="C389" s="9"/>
    </row>
    <row r="390">
      <c r="B390" s="28"/>
      <c r="C390" s="9"/>
    </row>
    <row r="391">
      <c r="B391" s="28"/>
      <c r="C391" s="9"/>
    </row>
    <row r="392">
      <c r="B392" s="28"/>
      <c r="C392" s="9"/>
    </row>
    <row r="393">
      <c r="B393" s="28"/>
      <c r="C393" s="9"/>
    </row>
    <row r="394">
      <c r="B394" s="28"/>
      <c r="C394" s="9"/>
    </row>
    <row r="395">
      <c r="B395" s="28"/>
      <c r="C395" s="9"/>
    </row>
    <row r="396">
      <c r="B396" s="28"/>
      <c r="C396" s="9"/>
    </row>
    <row r="397">
      <c r="B397" s="28"/>
      <c r="C397" s="9"/>
    </row>
    <row r="398">
      <c r="B398" s="28"/>
      <c r="C398" s="9"/>
    </row>
    <row r="399">
      <c r="B399" s="28"/>
      <c r="C399" s="9"/>
    </row>
    <row r="400">
      <c r="B400" s="28"/>
      <c r="C400" s="9"/>
    </row>
    <row r="401">
      <c r="B401" s="28"/>
      <c r="C401" s="9"/>
    </row>
    <row r="402">
      <c r="B402" s="28"/>
      <c r="C402" s="9"/>
    </row>
    <row r="403">
      <c r="B403" s="28"/>
      <c r="C403" s="9"/>
    </row>
    <row r="404">
      <c r="B404" s="28"/>
      <c r="C404" s="9"/>
    </row>
    <row r="405">
      <c r="B405" s="28"/>
      <c r="C405" s="9"/>
    </row>
    <row r="406">
      <c r="B406" s="28"/>
      <c r="C406" s="9"/>
    </row>
    <row r="407">
      <c r="B407" s="28"/>
      <c r="C407" s="9"/>
    </row>
    <row r="408">
      <c r="B408" s="28"/>
      <c r="C408" s="9"/>
    </row>
    <row r="409">
      <c r="B409" s="28"/>
      <c r="C409" s="9"/>
    </row>
    <row r="410">
      <c r="B410" s="28"/>
      <c r="C410" s="9"/>
    </row>
    <row r="411">
      <c r="B411" s="28"/>
      <c r="C411" s="9"/>
    </row>
    <row r="412">
      <c r="B412" s="28"/>
      <c r="C412" s="9"/>
    </row>
    <row r="413">
      <c r="B413" s="28"/>
      <c r="C413" s="9"/>
    </row>
    <row r="414">
      <c r="B414" s="28"/>
      <c r="C414" s="9"/>
    </row>
    <row r="415">
      <c r="B415" s="28"/>
      <c r="C415" s="9"/>
    </row>
    <row r="416">
      <c r="B416" s="28"/>
      <c r="C416" s="9"/>
    </row>
    <row r="417">
      <c r="B417" s="28"/>
      <c r="C417" s="9"/>
    </row>
    <row r="418">
      <c r="B418" s="28"/>
      <c r="C418" s="9"/>
    </row>
    <row r="419">
      <c r="B419" s="28"/>
      <c r="C419" s="9"/>
    </row>
    <row r="420">
      <c r="B420" s="28"/>
      <c r="C420" s="9"/>
    </row>
    <row r="421">
      <c r="B421" s="28"/>
      <c r="C421" s="9"/>
    </row>
    <row r="422">
      <c r="B422" s="28"/>
      <c r="C422" s="9"/>
    </row>
    <row r="423">
      <c r="B423" s="28"/>
      <c r="C423" s="9"/>
    </row>
    <row r="424">
      <c r="B424" s="28"/>
      <c r="C424" s="9"/>
    </row>
    <row r="425">
      <c r="B425" s="28"/>
      <c r="C425" s="9"/>
    </row>
    <row r="426">
      <c r="B426" s="28"/>
      <c r="C426" s="9"/>
    </row>
    <row r="427">
      <c r="B427" s="28"/>
      <c r="C427" s="9"/>
    </row>
    <row r="428">
      <c r="B428" s="28"/>
      <c r="C428" s="9"/>
    </row>
    <row r="429">
      <c r="B429" s="28"/>
      <c r="C429" s="9"/>
    </row>
    <row r="430">
      <c r="B430" s="28"/>
      <c r="C430" s="9"/>
    </row>
    <row r="431">
      <c r="B431" s="28"/>
      <c r="C431" s="9"/>
    </row>
    <row r="432">
      <c r="B432" s="28"/>
      <c r="C432" s="9"/>
    </row>
    <row r="433">
      <c r="B433" s="28"/>
      <c r="C433" s="9"/>
    </row>
    <row r="434">
      <c r="B434" s="28"/>
      <c r="C434" s="9"/>
    </row>
    <row r="435">
      <c r="B435" s="28"/>
      <c r="C435" s="9"/>
    </row>
    <row r="436">
      <c r="B436" s="28"/>
      <c r="C436" s="9"/>
    </row>
    <row r="437">
      <c r="B437" s="28"/>
      <c r="C437" s="9"/>
    </row>
    <row r="438">
      <c r="B438" s="28"/>
      <c r="C438" s="9"/>
    </row>
    <row r="439">
      <c r="B439" s="28"/>
      <c r="C439" s="9"/>
    </row>
    <row r="440">
      <c r="B440" s="28"/>
      <c r="C440" s="9"/>
    </row>
    <row r="441">
      <c r="B441" s="28"/>
      <c r="C441" s="9"/>
    </row>
    <row r="442">
      <c r="B442" s="28"/>
      <c r="C442" s="9"/>
    </row>
    <row r="443">
      <c r="B443" s="28"/>
      <c r="C443" s="9"/>
    </row>
    <row r="444">
      <c r="B444" s="28"/>
      <c r="C444" s="9"/>
    </row>
    <row r="445">
      <c r="B445" s="28"/>
      <c r="C445" s="9"/>
    </row>
    <row r="446">
      <c r="B446" s="28"/>
      <c r="C446" s="9"/>
    </row>
    <row r="447">
      <c r="B447" s="28"/>
      <c r="C447" s="9"/>
    </row>
    <row r="448">
      <c r="B448" s="28"/>
      <c r="C448" s="9"/>
    </row>
    <row r="449">
      <c r="B449" s="28"/>
      <c r="C449" s="9"/>
    </row>
    <row r="450">
      <c r="B450" s="28"/>
      <c r="C450" s="9"/>
    </row>
    <row r="451">
      <c r="B451" s="28"/>
      <c r="C451" s="9"/>
    </row>
    <row r="452">
      <c r="B452" s="28"/>
      <c r="C452" s="9"/>
    </row>
    <row r="453">
      <c r="B453" s="28"/>
      <c r="C453" s="9"/>
    </row>
    <row r="454">
      <c r="B454" s="28"/>
      <c r="C454" s="9"/>
    </row>
    <row r="455">
      <c r="B455" s="28"/>
      <c r="C455" s="9"/>
    </row>
    <row r="456">
      <c r="B456" s="28"/>
      <c r="C456" s="9"/>
    </row>
    <row r="457">
      <c r="B457" s="28"/>
      <c r="C457" s="9"/>
    </row>
    <row r="458">
      <c r="B458" s="28"/>
      <c r="C458" s="9"/>
    </row>
    <row r="459">
      <c r="B459" s="28"/>
      <c r="C459" s="9"/>
    </row>
    <row r="460">
      <c r="B460" s="28"/>
      <c r="C460" s="9"/>
    </row>
    <row r="461">
      <c r="B461" s="28"/>
      <c r="C461" s="9"/>
    </row>
    <row r="462">
      <c r="B462" s="28"/>
      <c r="C462" s="9"/>
    </row>
    <row r="463">
      <c r="B463" s="28"/>
      <c r="C463" s="9"/>
    </row>
    <row r="464">
      <c r="B464" s="28"/>
      <c r="C464" s="9"/>
    </row>
    <row r="465">
      <c r="B465" s="28"/>
      <c r="C465" s="9"/>
    </row>
    <row r="466">
      <c r="B466" s="28"/>
      <c r="C466" s="9"/>
    </row>
    <row r="467">
      <c r="B467" s="28"/>
      <c r="C467" s="9"/>
    </row>
    <row r="468">
      <c r="B468" s="28"/>
      <c r="C468" s="9"/>
    </row>
    <row r="469">
      <c r="B469" s="28"/>
      <c r="C469" s="9"/>
    </row>
    <row r="470">
      <c r="B470" s="28"/>
      <c r="C470" s="9"/>
    </row>
    <row r="471">
      <c r="B471" s="28"/>
      <c r="C471" s="9"/>
    </row>
    <row r="472">
      <c r="B472" s="28"/>
      <c r="C472" s="9"/>
    </row>
    <row r="473">
      <c r="B473" s="28"/>
      <c r="C473" s="9"/>
    </row>
    <row r="474">
      <c r="B474" s="28"/>
      <c r="C474" s="9"/>
    </row>
    <row r="475">
      <c r="B475" s="28"/>
      <c r="C475" s="9"/>
    </row>
    <row r="476">
      <c r="B476" s="28"/>
      <c r="C476" s="9"/>
    </row>
    <row r="477">
      <c r="B477" s="28"/>
      <c r="C477" s="9"/>
    </row>
    <row r="478">
      <c r="B478" s="28"/>
      <c r="C478" s="9"/>
    </row>
    <row r="479">
      <c r="B479" s="28"/>
      <c r="C479" s="9"/>
    </row>
    <row r="480">
      <c r="B480" s="28"/>
      <c r="C480" s="9"/>
    </row>
    <row r="481">
      <c r="B481" s="28"/>
      <c r="C481" s="9"/>
    </row>
    <row r="482">
      <c r="B482" s="28"/>
      <c r="C482" s="9"/>
    </row>
    <row r="483">
      <c r="B483" s="28"/>
      <c r="C483" s="9"/>
    </row>
    <row r="484">
      <c r="B484" s="28"/>
      <c r="C484" s="9"/>
    </row>
    <row r="485">
      <c r="B485" s="28"/>
      <c r="C485" s="9"/>
    </row>
    <row r="486">
      <c r="B486" s="28"/>
      <c r="C486" s="9"/>
    </row>
    <row r="487">
      <c r="B487" s="28"/>
      <c r="C487" s="9"/>
    </row>
    <row r="488">
      <c r="B488" s="28"/>
      <c r="C488" s="9"/>
    </row>
    <row r="489">
      <c r="B489" s="28"/>
      <c r="C489" s="9"/>
    </row>
    <row r="490">
      <c r="B490" s="28"/>
      <c r="C490" s="9"/>
    </row>
    <row r="491">
      <c r="B491" s="28"/>
      <c r="C491" s="9"/>
    </row>
    <row r="492">
      <c r="B492" s="28"/>
      <c r="C492" s="9"/>
    </row>
    <row r="493">
      <c r="B493" s="28"/>
      <c r="C493" s="9"/>
    </row>
    <row r="494">
      <c r="B494" s="28"/>
      <c r="C494" s="9"/>
    </row>
    <row r="495">
      <c r="B495" s="28"/>
      <c r="C495" s="9"/>
    </row>
    <row r="496">
      <c r="B496" s="28"/>
      <c r="C496" s="9"/>
    </row>
    <row r="497">
      <c r="B497" s="28"/>
      <c r="C497" s="9"/>
    </row>
    <row r="498">
      <c r="B498" s="28"/>
      <c r="C498" s="9"/>
    </row>
    <row r="499">
      <c r="B499" s="28"/>
      <c r="C499" s="9"/>
    </row>
    <row r="500">
      <c r="B500" s="28"/>
      <c r="C500" s="9"/>
    </row>
    <row r="501">
      <c r="B501" s="28"/>
      <c r="C501" s="9"/>
    </row>
    <row r="502">
      <c r="B502" s="28"/>
      <c r="C502" s="9"/>
    </row>
    <row r="503">
      <c r="B503" s="28"/>
      <c r="C503" s="9"/>
    </row>
    <row r="504">
      <c r="B504" s="28"/>
      <c r="C504" s="9"/>
    </row>
    <row r="505">
      <c r="B505" s="28"/>
      <c r="C505" s="9"/>
    </row>
    <row r="506">
      <c r="B506" s="28"/>
      <c r="C506" s="9"/>
    </row>
    <row r="507">
      <c r="B507" s="28"/>
      <c r="C507" s="9"/>
    </row>
    <row r="508">
      <c r="B508" s="28"/>
      <c r="C508" s="9"/>
    </row>
    <row r="509">
      <c r="B509" s="28"/>
      <c r="C509" s="9"/>
    </row>
    <row r="510">
      <c r="B510" s="28"/>
      <c r="C510" s="9"/>
    </row>
    <row r="511">
      <c r="B511" s="28"/>
      <c r="C511" s="9"/>
    </row>
    <row r="512">
      <c r="B512" s="28"/>
      <c r="C512" s="9"/>
    </row>
    <row r="513">
      <c r="B513" s="28"/>
      <c r="C513" s="9"/>
    </row>
    <row r="514">
      <c r="B514" s="28"/>
      <c r="C514" s="9"/>
    </row>
    <row r="515">
      <c r="B515" s="28"/>
      <c r="C515" s="9"/>
    </row>
    <row r="516">
      <c r="B516" s="28"/>
      <c r="C516" s="9"/>
    </row>
    <row r="517">
      <c r="B517" s="28"/>
      <c r="C517" s="9"/>
    </row>
    <row r="518">
      <c r="B518" s="28"/>
      <c r="C518" s="9"/>
    </row>
    <row r="519">
      <c r="B519" s="28"/>
      <c r="C519" s="9"/>
    </row>
    <row r="520">
      <c r="B520" s="28"/>
      <c r="C520" s="9"/>
    </row>
    <row r="521">
      <c r="B521" s="28"/>
      <c r="C521" s="9"/>
    </row>
    <row r="522">
      <c r="B522" s="28"/>
      <c r="C522" s="9"/>
    </row>
    <row r="523">
      <c r="B523" s="28"/>
      <c r="C523" s="9"/>
    </row>
    <row r="524">
      <c r="B524" s="28"/>
      <c r="C524" s="9"/>
    </row>
    <row r="525">
      <c r="B525" s="28"/>
      <c r="C525" s="9"/>
    </row>
    <row r="526">
      <c r="B526" s="28"/>
      <c r="C526" s="9"/>
    </row>
    <row r="527">
      <c r="B527" s="28"/>
      <c r="C527" s="9"/>
    </row>
    <row r="528">
      <c r="B528" s="28"/>
      <c r="C528" s="9"/>
    </row>
    <row r="529">
      <c r="B529" s="28"/>
      <c r="C529" s="9"/>
    </row>
    <row r="530">
      <c r="B530" s="28"/>
      <c r="C530" s="9"/>
    </row>
    <row r="531">
      <c r="B531" s="28"/>
      <c r="C531" s="9"/>
    </row>
    <row r="532">
      <c r="B532" s="28"/>
      <c r="C532" s="9"/>
    </row>
    <row r="533">
      <c r="B533" s="28"/>
      <c r="C533" s="9"/>
    </row>
    <row r="534">
      <c r="B534" s="28"/>
      <c r="C534" s="9"/>
    </row>
    <row r="535">
      <c r="B535" s="28"/>
      <c r="C535" s="9"/>
    </row>
    <row r="536">
      <c r="B536" s="28"/>
      <c r="C536" s="9"/>
    </row>
    <row r="537">
      <c r="B537" s="28"/>
      <c r="C537" s="9"/>
    </row>
    <row r="538">
      <c r="B538" s="28"/>
      <c r="C538" s="9"/>
    </row>
    <row r="539">
      <c r="B539" s="28"/>
      <c r="C539" s="9"/>
    </row>
    <row r="540">
      <c r="B540" s="28"/>
      <c r="C540" s="9"/>
    </row>
    <row r="541">
      <c r="B541" s="28"/>
      <c r="C541" s="9"/>
    </row>
    <row r="542">
      <c r="B542" s="28"/>
      <c r="C542" s="9"/>
    </row>
    <row r="543">
      <c r="B543" s="28"/>
      <c r="C543" s="9"/>
    </row>
    <row r="544">
      <c r="B544" s="28"/>
      <c r="C544" s="9"/>
    </row>
    <row r="545">
      <c r="B545" s="28"/>
      <c r="C545" s="9"/>
    </row>
    <row r="546">
      <c r="B546" s="28"/>
      <c r="C546" s="9"/>
    </row>
    <row r="547">
      <c r="B547" s="28"/>
      <c r="C547" s="9"/>
    </row>
    <row r="548">
      <c r="B548" s="28"/>
      <c r="C548" s="9"/>
    </row>
    <row r="549">
      <c r="B549" s="28"/>
      <c r="C549" s="9"/>
    </row>
    <row r="550">
      <c r="B550" s="28"/>
      <c r="C550" s="9"/>
    </row>
    <row r="551">
      <c r="B551" s="28"/>
      <c r="C551" s="9"/>
    </row>
    <row r="552">
      <c r="B552" s="28"/>
      <c r="C552" s="9"/>
    </row>
    <row r="553">
      <c r="B553" s="28"/>
      <c r="C553" s="9"/>
    </row>
    <row r="554">
      <c r="B554" s="28"/>
      <c r="C554" s="9"/>
    </row>
    <row r="555">
      <c r="B555" s="28"/>
      <c r="C555" s="9"/>
    </row>
    <row r="556">
      <c r="B556" s="28"/>
      <c r="C556" s="9"/>
    </row>
    <row r="557">
      <c r="B557" s="28"/>
      <c r="C557" s="9"/>
    </row>
    <row r="558">
      <c r="B558" s="28"/>
      <c r="C558" s="9"/>
    </row>
    <row r="559">
      <c r="B559" s="28"/>
      <c r="C559" s="9"/>
    </row>
    <row r="560">
      <c r="B560" s="28"/>
      <c r="C560" s="9"/>
    </row>
    <row r="561">
      <c r="B561" s="28"/>
      <c r="C561" s="9"/>
    </row>
    <row r="562">
      <c r="B562" s="28"/>
      <c r="C562" s="9"/>
    </row>
    <row r="563">
      <c r="B563" s="28"/>
      <c r="C563" s="9"/>
    </row>
    <row r="564">
      <c r="B564" s="28"/>
      <c r="C564" s="9"/>
    </row>
    <row r="565">
      <c r="B565" s="28"/>
      <c r="C565" s="9"/>
    </row>
    <row r="566">
      <c r="B566" s="28"/>
      <c r="C566" s="9"/>
    </row>
    <row r="567">
      <c r="B567" s="28"/>
      <c r="C567" s="9"/>
    </row>
    <row r="568">
      <c r="B568" s="28"/>
      <c r="C568" s="9"/>
    </row>
    <row r="569">
      <c r="B569" s="28"/>
      <c r="C569" s="9"/>
    </row>
    <row r="570">
      <c r="B570" s="28"/>
      <c r="C570" s="9"/>
    </row>
    <row r="571">
      <c r="B571" s="28"/>
      <c r="C571" s="9"/>
    </row>
    <row r="572">
      <c r="B572" s="28"/>
      <c r="C572" s="9"/>
    </row>
    <row r="573">
      <c r="B573" s="28"/>
      <c r="C573" s="9"/>
    </row>
    <row r="574">
      <c r="B574" s="28"/>
      <c r="C574" s="9"/>
    </row>
    <row r="575">
      <c r="B575" s="28"/>
      <c r="C575" s="9"/>
    </row>
    <row r="576">
      <c r="B576" s="28"/>
      <c r="C576" s="9"/>
    </row>
    <row r="577">
      <c r="B577" s="28"/>
      <c r="C577" s="9"/>
    </row>
    <row r="578">
      <c r="B578" s="28"/>
      <c r="C578" s="9"/>
    </row>
    <row r="579">
      <c r="B579" s="28"/>
      <c r="C579" s="9"/>
    </row>
    <row r="580">
      <c r="B580" s="28"/>
      <c r="C580" s="9"/>
    </row>
    <row r="581">
      <c r="B581" s="28"/>
      <c r="C581" s="9"/>
    </row>
    <row r="582">
      <c r="B582" s="28"/>
      <c r="C582" s="9"/>
    </row>
    <row r="583">
      <c r="B583" s="28"/>
      <c r="C583" s="9"/>
    </row>
    <row r="584">
      <c r="B584" s="28"/>
      <c r="C584" s="9"/>
    </row>
    <row r="585">
      <c r="B585" s="28"/>
      <c r="C585" s="9"/>
    </row>
    <row r="586">
      <c r="B586" s="28"/>
      <c r="C586" s="9"/>
    </row>
    <row r="587">
      <c r="B587" s="28"/>
      <c r="C587" s="9"/>
    </row>
    <row r="588">
      <c r="B588" s="28"/>
      <c r="C588" s="9"/>
    </row>
    <row r="589">
      <c r="B589" s="28"/>
      <c r="C589" s="9"/>
    </row>
    <row r="590">
      <c r="B590" s="28"/>
      <c r="C590" s="9"/>
    </row>
    <row r="591">
      <c r="B591" s="28"/>
      <c r="C591" s="9"/>
    </row>
    <row r="592">
      <c r="B592" s="28"/>
      <c r="C592" s="9"/>
    </row>
    <row r="593">
      <c r="B593" s="28"/>
      <c r="C593" s="9"/>
    </row>
    <row r="594">
      <c r="B594" s="28"/>
      <c r="C594" s="9"/>
    </row>
    <row r="595">
      <c r="B595" s="28"/>
      <c r="C595" s="9"/>
    </row>
    <row r="596">
      <c r="B596" s="28"/>
      <c r="C596" s="9"/>
    </row>
    <row r="597">
      <c r="B597" s="28"/>
      <c r="C597" s="9"/>
    </row>
    <row r="598">
      <c r="B598" s="28"/>
      <c r="C598" s="9"/>
    </row>
    <row r="599">
      <c r="B599" s="28"/>
      <c r="C599" s="9"/>
    </row>
    <row r="600">
      <c r="B600" s="28"/>
      <c r="C600" s="9"/>
    </row>
    <row r="601">
      <c r="B601" s="28"/>
      <c r="C601" s="9"/>
    </row>
    <row r="602">
      <c r="B602" s="28"/>
      <c r="C602" s="9"/>
    </row>
    <row r="603">
      <c r="B603" s="28"/>
      <c r="C603" s="9"/>
    </row>
    <row r="604">
      <c r="B604" s="28"/>
      <c r="C604" s="9"/>
    </row>
    <row r="605">
      <c r="B605" s="28"/>
      <c r="C605" s="9"/>
    </row>
    <row r="606">
      <c r="B606" s="28"/>
      <c r="C606" s="9"/>
    </row>
    <row r="607">
      <c r="B607" s="28"/>
      <c r="C607" s="9"/>
    </row>
    <row r="608">
      <c r="B608" s="28"/>
      <c r="C608" s="9"/>
    </row>
    <row r="609">
      <c r="B609" s="28"/>
      <c r="C609" s="9"/>
    </row>
    <row r="610">
      <c r="B610" s="28"/>
      <c r="C610" s="9"/>
    </row>
    <row r="611">
      <c r="B611" s="28"/>
      <c r="C611" s="9"/>
    </row>
    <row r="612">
      <c r="B612" s="28"/>
      <c r="C612" s="9"/>
    </row>
    <row r="613">
      <c r="B613" s="28"/>
      <c r="C613" s="9"/>
    </row>
    <row r="614">
      <c r="B614" s="28"/>
      <c r="C614" s="9"/>
    </row>
    <row r="615">
      <c r="B615" s="28"/>
      <c r="C615" s="9"/>
    </row>
    <row r="616">
      <c r="B616" s="28"/>
      <c r="C616" s="9"/>
    </row>
    <row r="617">
      <c r="B617" s="28"/>
      <c r="C617" s="9"/>
    </row>
    <row r="618">
      <c r="B618" s="28"/>
      <c r="C618" s="9"/>
    </row>
    <row r="619">
      <c r="B619" s="28"/>
      <c r="C619" s="9"/>
    </row>
    <row r="620">
      <c r="B620" s="28"/>
      <c r="C620" s="9"/>
    </row>
    <row r="621">
      <c r="B621" s="28"/>
      <c r="C621" s="9"/>
    </row>
    <row r="622">
      <c r="B622" s="28"/>
      <c r="C622" s="9"/>
    </row>
    <row r="623">
      <c r="B623" s="28"/>
      <c r="C623" s="9"/>
    </row>
    <row r="624">
      <c r="B624" s="28"/>
      <c r="C624" s="9"/>
    </row>
    <row r="625">
      <c r="B625" s="28"/>
      <c r="C625" s="9"/>
    </row>
    <row r="626">
      <c r="B626" s="28"/>
      <c r="C626" s="9"/>
    </row>
    <row r="627">
      <c r="B627" s="28"/>
      <c r="C627" s="9"/>
    </row>
    <row r="628">
      <c r="B628" s="28"/>
      <c r="C628" s="9"/>
    </row>
    <row r="629">
      <c r="B629" s="28"/>
      <c r="C629" s="9"/>
    </row>
    <row r="630">
      <c r="B630" s="28"/>
      <c r="C630" s="9"/>
    </row>
    <row r="631">
      <c r="B631" s="28"/>
      <c r="C631" s="9"/>
    </row>
    <row r="632">
      <c r="B632" s="28"/>
      <c r="C632" s="9"/>
    </row>
    <row r="633">
      <c r="B633" s="28"/>
      <c r="C633" s="9"/>
    </row>
    <row r="634">
      <c r="B634" s="28"/>
      <c r="C634" s="9"/>
    </row>
    <row r="635">
      <c r="B635" s="28"/>
      <c r="C635" s="9"/>
    </row>
    <row r="636">
      <c r="B636" s="28"/>
      <c r="C636" s="9"/>
    </row>
    <row r="637">
      <c r="B637" s="28"/>
      <c r="C637" s="9"/>
    </row>
    <row r="638">
      <c r="B638" s="28"/>
      <c r="C638" s="9"/>
    </row>
    <row r="639">
      <c r="B639" s="28"/>
      <c r="C639" s="9"/>
    </row>
    <row r="640">
      <c r="B640" s="28"/>
      <c r="C640" s="9"/>
    </row>
    <row r="641">
      <c r="B641" s="28"/>
      <c r="C641" s="9"/>
    </row>
    <row r="642">
      <c r="B642" s="28"/>
      <c r="C642" s="9"/>
    </row>
    <row r="643">
      <c r="B643" s="28"/>
      <c r="C643" s="9"/>
    </row>
    <row r="644">
      <c r="B644" s="28"/>
      <c r="C644" s="9"/>
    </row>
    <row r="645">
      <c r="B645" s="28"/>
      <c r="C645" s="9"/>
    </row>
    <row r="646">
      <c r="B646" s="28"/>
      <c r="C646" s="9"/>
    </row>
    <row r="647">
      <c r="B647" s="28"/>
      <c r="C647" s="9"/>
    </row>
    <row r="648">
      <c r="B648" s="28"/>
      <c r="C648" s="9"/>
    </row>
    <row r="649">
      <c r="B649" s="28"/>
      <c r="C649" s="9"/>
    </row>
    <row r="650">
      <c r="B650" s="28"/>
      <c r="C650" s="9"/>
    </row>
    <row r="651">
      <c r="B651" s="28"/>
      <c r="C651" s="9"/>
    </row>
    <row r="652">
      <c r="B652" s="28"/>
      <c r="C652" s="9"/>
    </row>
    <row r="653">
      <c r="B653" s="28"/>
      <c r="C653" s="9"/>
    </row>
    <row r="654">
      <c r="B654" s="28"/>
      <c r="C654" s="9"/>
    </row>
    <row r="655">
      <c r="B655" s="28"/>
      <c r="C655" s="9"/>
    </row>
    <row r="656">
      <c r="B656" s="28"/>
      <c r="C656" s="9"/>
    </row>
    <row r="657">
      <c r="B657" s="28"/>
      <c r="C657" s="9"/>
    </row>
    <row r="658">
      <c r="B658" s="28"/>
      <c r="C658" s="9"/>
    </row>
    <row r="659">
      <c r="B659" s="28"/>
      <c r="C659" s="9"/>
    </row>
    <row r="660">
      <c r="B660" s="28"/>
      <c r="C660" s="9"/>
    </row>
    <row r="661">
      <c r="B661" s="28"/>
      <c r="C661" s="9"/>
    </row>
    <row r="662">
      <c r="B662" s="28"/>
      <c r="C662" s="9"/>
    </row>
    <row r="663">
      <c r="B663" s="28"/>
      <c r="C663" s="9"/>
    </row>
    <row r="664">
      <c r="B664" s="28"/>
      <c r="C664" s="9"/>
    </row>
    <row r="665">
      <c r="B665" s="28"/>
      <c r="C665" s="9"/>
    </row>
    <row r="666">
      <c r="B666" s="28"/>
      <c r="C666" s="9"/>
    </row>
    <row r="667">
      <c r="B667" s="28"/>
      <c r="C667" s="9"/>
    </row>
    <row r="668">
      <c r="B668" s="28"/>
      <c r="C668" s="9"/>
    </row>
    <row r="669">
      <c r="B669" s="28"/>
      <c r="C669" s="9"/>
    </row>
    <row r="670">
      <c r="B670" s="28"/>
      <c r="C670" s="9"/>
    </row>
    <row r="671">
      <c r="B671" s="28"/>
      <c r="C671" s="9"/>
    </row>
    <row r="672">
      <c r="B672" s="28"/>
      <c r="C672" s="9"/>
    </row>
    <row r="673">
      <c r="B673" s="28"/>
      <c r="C673" s="9"/>
    </row>
    <row r="674">
      <c r="B674" s="28"/>
      <c r="C674" s="9"/>
    </row>
    <row r="675">
      <c r="B675" s="28"/>
      <c r="C675" s="9"/>
    </row>
    <row r="676">
      <c r="B676" s="28"/>
      <c r="C676" s="9"/>
    </row>
    <row r="677">
      <c r="B677" s="28"/>
      <c r="C677" s="9"/>
    </row>
    <row r="678">
      <c r="B678" s="28"/>
      <c r="C678" s="9"/>
    </row>
    <row r="679">
      <c r="B679" s="28"/>
      <c r="C679" s="9"/>
    </row>
    <row r="680">
      <c r="B680" s="28"/>
      <c r="C680" s="9"/>
    </row>
    <row r="681">
      <c r="B681" s="28"/>
      <c r="C681" s="9"/>
    </row>
    <row r="682">
      <c r="B682" s="28"/>
      <c r="C682" s="9"/>
    </row>
    <row r="683">
      <c r="B683" s="28"/>
      <c r="C683" s="9"/>
    </row>
    <row r="684">
      <c r="B684" s="28"/>
      <c r="C684" s="9"/>
    </row>
    <row r="685">
      <c r="B685" s="28"/>
      <c r="C685" s="9"/>
    </row>
    <row r="686">
      <c r="B686" s="28"/>
      <c r="C686" s="9"/>
    </row>
    <row r="687">
      <c r="B687" s="28"/>
      <c r="C687" s="9"/>
    </row>
    <row r="688">
      <c r="B688" s="28"/>
      <c r="C688" s="9"/>
    </row>
    <row r="689">
      <c r="B689" s="28"/>
      <c r="C689" s="9"/>
    </row>
    <row r="690">
      <c r="B690" s="28"/>
      <c r="C690" s="9"/>
    </row>
    <row r="691">
      <c r="B691" s="28"/>
      <c r="C691" s="9"/>
    </row>
    <row r="692">
      <c r="B692" s="28"/>
      <c r="C692" s="9"/>
    </row>
    <row r="693">
      <c r="B693" s="28"/>
      <c r="C693" s="9"/>
    </row>
    <row r="694">
      <c r="B694" s="28"/>
      <c r="C694" s="9"/>
    </row>
    <row r="695">
      <c r="B695" s="28"/>
      <c r="C695" s="9"/>
    </row>
    <row r="696">
      <c r="B696" s="28"/>
      <c r="C696" s="9"/>
    </row>
    <row r="697">
      <c r="B697" s="28"/>
      <c r="C697" s="9"/>
    </row>
    <row r="698">
      <c r="B698" s="28"/>
      <c r="C698" s="9"/>
    </row>
    <row r="699">
      <c r="B699" s="28"/>
      <c r="C699" s="9"/>
    </row>
    <row r="700">
      <c r="B700" s="28"/>
      <c r="C700" s="9"/>
    </row>
    <row r="701">
      <c r="B701" s="28"/>
      <c r="C701" s="9"/>
    </row>
    <row r="702">
      <c r="B702" s="28"/>
      <c r="C702" s="9"/>
    </row>
    <row r="703">
      <c r="B703" s="28"/>
      <c r="C703" s="9"/>
    </row>
    <row r="704">
      <c r="B704" s="28"/>
      <c r="C704" s="9"/>
    </row>
    <row r="705">
      <c r="B705" s="28"/>
      <c r="C705" s="9"/>
    </row>
    <row r="706">
      <c r="B706" s="28"/>
      <c r="C706" s="9"/>
    </row>
    <row r="707">
      <c r="B707" s="28"/>
      <c r="C707" s="9"/>
    </row>
    <row r="708">
      <c r="B708" s="28"/>
      <c r="C708" s="9"/>
    </row>
    <row r="709">
      <c r="B709" s="28"/>
      <c r="C709" s="9"/>
    </row>
    <row r="710">
      <c r="B710" s="28"/>
      <c r="C710" s="9"/>
    </row>
    <row r="711">
      <c r="B711" s="28"/>
      <c r="C711" s="9"/>
    </row>
    <row r="712">
      <c r="B712" s="28"/>
      <c r="C712" s="9"/>
    </row>
    <row r="713">
      <c r="B713" s="28"/>
      <c r="C713" s="9"/>
    </row>
    <row r="714">
      <c r="B714" s="28"/>
      <c r="C714" s="9"/>
    </row>
    <row r="715">
      <c r="B715" s="28"/>
      <c r="C715" s="9"/>
    </row>
    <row r="716">
      <c r="B716" s="28"/>
      <c r="C716" s="9"/>
    </row>
    <row r="717">
      <c r="B717" s="28"/>
      <c r="C717" s="9"/>
    </row>
    <row r="718">
      <c r="B718" s="28"/>
      <c r="C718" s="9"/>
    </row>
    <row r="719">
      <c r="B719" s="28"/>
      <c r="C719" s="9"/>
    </row>
    <row r="720">
      <c r="B720" s="28"/>
      <c r="C720" s="9"/>
    </row>
    <row r="721">
      <c r="B721" s="28"/>
      <c r="C721" s="9"/>
    </row>
    <row r="722">
      <c r="B722" s="28"/>
      <c r="C722" s="9"/>
    </row>
    <row r="723">
      <c r="B723" s="28"/>
      <c r="C723" s="9"/>
    </row>
    <row r="724">
      <c r="B724" s="28"/>
      <c r="C724" s="9"/>
    </row>
    <row r="725">
      <c r="B725" s="28"/>
      <c r="C725" s="9"/>
    </row>
    <row r="726">
      <c r="B726" s="28"/>
      <c r="C726" s="9"/>
    </row>
    <row r="727">
      <c r="B727" s="28"/>
      <c r="C727" s="9"/>
    </row>
    <row r="728">
      <c r="B728" s="28"/>
      <c r="C728" s="9"/>
    </row>
    <row r="729">
      <c r="B729" s="28"/>
      <c r="C729" s="9"/>
    </row>
    <row r="730">
      <c r="B730" s="28"/>
      <c r="C730" s="9"/>
    </row>
    <row r="731">
      <c r="B731" s="28"/>
      <c r="C731" s="9"/>
    </row>
    <row r="732">
      <c r="B732" s="28"/>
      <c r="C732" s="9"/>
    </row>
    <row r="733">
      <c r="B733" s="28"/>
      <c r="C733" s="9"/>
    </row>
    <row r="734">
      <c r="B734" s="28"/>
      <c r="C734" s="9"/>
    </row>
    <row r="735">
      <c r="B735" s="28"/>
      <c r="C735" s="9"/>
    </row>
    <row r="736">
      <c r="B736" s="28"/>
      <c r="C736" s="9"/>
    </row>
    <row r="737">
      <c r="B737" s="28"/>
      <c r="C737" s="9"/>
    </row>
    <row r="738">
      <c r="B738" s="28"/>
      <c r="C738" s="9"/>
    </row>
    <row r="739">
      <c r="B739" s="28"/>
      <c r="C739" s="9"/>
    </row>
    <row r="740">
      <c r="B740" s="28"/>
      <c r="C740" s="9"/>
    </row>
    <row r="741">
      <c r="B741" s="28"/>
      <c r="C741" s="9"/>
    </row>
    <row r="742">
      <c r="B742" s="28"/>
      <c r="C742" s="9"/>
    </row>
    <row r="743">
      <c r="B743" s="28"/>
      <c r="C743" s="9"/>
    </row>
    <row r="744">
      <c r="B744" s="28"/>
      <c r="C744" s="9"/>
    </row>
    <row r="745">
      <c r="B745" s="28"/>
      <c r="C745" s="9"/>
    </row>
    <row r="746">
      <c r="B746" s="28"/>
      <c r="C746" s="9"/>
    </row>
    <row r="747">
      <c r="B747" s="28"/>
      <c r="C747" s="9"/>
    </row>
    <row r="748">
      <c r="B748" s="28"/>
      <c r="C748" s="9"/>
    </row>
    <row r="749">
      <c r="B749" s="28"/>
      <c r="C749" s="9"/>
    </row>
    <row r="750">
      <c r="B750" s="28"/>
      <c r="C750" s="9"/>
    </row>
    <row r="751">
      <c r="B751" s="28"/>
      <c r="C751" s="9"/>
    </row>
    <row r="752">
      <c r="B752" s="28"/>
      <c r="C752" s="9"/>
    </row>
    <row r="753">
      <c r="B753" s="28"/>
      <c r="C753" s="9"/>
    </row>
    <row r="754">
      <c r="B754" s="28"/>
      <c r="C754" s="9"/>
    </row>
    <row r="755">
      <c r="B755" s="28"/>
      <c r="C755" s="9"/>
    </row>
    <row r="756">
      <c r="B756" s="28"/>
      <c r="C756" s="9"/>
    </row>
    <row r="757">
      <c r="B757" s="28"/>
      <c r="C757" s="9"/>
    </row>
    <row r="758">
      <c r="B758" s="28"/>
      <c r="C758" s="9"/>
    </row>
    <row r="759">
      <c r="B759" s="28"/>
      <c r="C759" s="9"/>
    </row>
    <row r="760">
      <c r="B760" s="28"/>
      <c r="C760" s="9"/>
    </row>
    <row r="761">
      <c r="B761" s="28"/>
      <c r="C761" s="9"/>
    </row>
    <row r="762">
      <c r="B762" s="28"/>
      <c r="C762" s="9"/>
    </row>
    <row r="763">
      <c r="B763" s="28"/>
      <c r="C763" s="9"/>
    </row>
    <row r="764">
      <c r="B764" s="28"/>
      <c r="C764" s="9"/>
    </row>
    <row r="765">
      <c r="B765" s="28"/>
      <c r="C765" s="9"/>
    </row>
    <row r="766">
      <c r="B766" s="28"/>
      <c r="C766" s="9"/>
    </row>
    <row r="767">
      <c r="B767" s="28"/>
      <c r="C767" s="9"/>
    </row>
    <row r="768">
      <c r="B768" s="28"/>
      <c r="C768" s="9"/>
    </row>
    <row r="769">
      <c r="B769" s="28"/>
      <c r="C769" s="9"/>
    </row>
    <row r="770">
      <c r="B770" s="28"/>
      <c r="C770" s="9"/>
    </row>
    <row r="771">
      <c r="B771" s="28"/>
      <c r="C771" s="9"/>
    </row>
    <row r="772">
      <c r="B772" s="28"/>
      <c r="C772" s="9"/>
    </row>
    <row r="773">
      <c r="B773" s="28"/>
      <c r="C773" s="9"/>
    </row>
    <row r="774">
      <c r="B774" s="28"/>
      <c r="C774" s="9"/>
    </row>
    <row r="775">
      <c r="B775" s="28"/>
      <c r="C775" s="9"/>
    </row>
    <row r="776">
      <c r="B776" s="28"/>
      <c r="C776" s="9"/>
    </row>
    <row r="777">
      <c r="B777" s="28"/>
      <c r="C777" s="9"/>
    </row>
    <row r="778">
      <c r="B778" s="28"/>
      <c r="C778" s="9"/>
    </row>
    <row r="779">
      <c r="B779" s="28"/>
      <c r="C779" s="9"/>
    </row>
    <row r="780">
      <c r="B780" s="28"/>
      <c r="C780" s="9"/>
    </row>
    <row r="781">
      <c r="B781" s="28"/>
      <c r="C781" s="9"/>
    </row>
    <row r="782">
      <c r="B782" s="28"/>
      <c r="C782" s="9"/>
    </row>
    <row r="783">
      <c r="B783" s="28"/>
      <c r="C783" s="9"/>
    </row>
    <row r="784">
      <c r="B784" s="28"/>
      <c r="C784" s="9"/>
    </row>
    <row r="785">
      <c r="B785" s="28"/>
      <c r="C785" s="9"/>
    </row>
    <row r="786">
      <c r="B786" s="28"/>
      <c r="C786" s="9"/>
    </row>
    <row r="787">
      <c r="B787" s="28"/>
      <c r="C787" s="9"/>
    </row>
    <row r="788">
      <c r="B788" s="28"/>
      <c r="C788" s="9"/>
    </row>
    <row r="789">
      <c r="B789" s="28"/>
      <c r="C789" s="9"/>
    </row>
    <row r="790">
      <c r="B790" s="28"/>
      <c r="C790" s="9"/>
    </row>
    <row r="791">
      <c r="B791" s="28"/>
      <c r="C791" s="9"/>
    </row>
    <row r="792">
      <c r="B792" s="28"/>
      <c r="C792" s="9"/>
    </row>
    <row r="793">
      <c r="B793" s="28"/>
      <c r="C793" s="9"/>
    </row>
    <row r="794">
      <c r="B794" s="28"/>
      <c r="C794" s="9"/>
    </row>
    <row r="795">
      <c r="B795" s="28"/>
      <c r="C795" s="9"/>
    </row>
    <row r="796">
      <c r="B796" s="28"/>
      <c r="C796" s="9"/>
    </row>
    <row r="797">
      <c r="B797" s="28"/>
      <c r="C797" s="9"/>
    </row>
    <row r="798">
      <c r="B798" s="28"/>
      <c r="C798" s="9"/>
    </row>
    <row r="799">
      <c r="B799" s="28"/>
      <c r="C799" s="9"/>
    </row>
    <row r="800">
      <c r="B800" s="28"/>
      <c r="C800" s="9"/>
    </row>
    <row r="801">
      <c r="B801" s="28"/>
      <c r="C801" s="9"/>
    </row>
    <row r="802">
      <c r="B802" s="28"/>
      <c r="C802" s="9"/>
    </row>
    <row r="803">
      <c r="B803" s="28"/>
      <c r="C803" s="9"/>
    </row>
    <row r="804">
      <c r="B804" s="28"/>
      <c r="C804" s="9"/>
    </row>
    <row r="805">
      <c r="B805" s="28"/>
      <c r="C805" s="9"/>
    </row>
    <row r="806">
      <c r="B806" s="28"/>
      <c r="C806" s="9"/>
    </row>
    <row r="807">
      <c r="B807" s="28"/>
      <c r="C807" s="9"/>
    </row>
    <row r="808">
      <c r="B808" s="28"/>
      <c r="C808" s="9"/>
    </row>
    <row r="809">
      <c r="B809" s="28"/>
      <c r="C809" s="9"/>
    </row>
    <row r="810">
      <c r="B810" s="28"/>
      <c r="C810" s="9"/>
    </row>
    <row r="811">
      <c r="B811" s="28"/>
      <c r="C811" s="9"/>
    </row>
    <row r="812">
      <c r="B812" s="28"/>
      <c r="C812" s="9"/>
    </row>
    <row r="813">
      <c r="B813" s="28"/>
      <c r="C813" s="9"/>
    </row>
    <row r="814">
      <c r="B814" s="28"/>
      <c r="C814" s="9"/>
    </row>
    <row r="815">
      <c r="B815" s="28"/>
      <c r="C815" s="9"/>
    </row>
    <row r="816">
      <c r="B816" s="28"/>
      <c r="C816" s="9"/>
    </row>
    <row r="817">
      <c r="B817" s="28"/>
      <c r="C817" s="9"/>
    </row>
    <row r="818">
      <c r="B818" s="28"/>
      <c r="C818" s="9"/>
    </row>
    <row r="819">
      <c r="B819" s="28"/>
      <c r="C819" s="9"/>
    </row>
    <row r="820">
      <c r="B820" s="28"/>
      <c r="C820" s="9"/>
    </row>
    <row r="821">
      <c r="B821" s="28"/>
      <c r="C821" s="9"/>
    </row>
    <row r="822">
      <c r="B822" s="28"/>
      <c r="C822" s="9"/>
    </row>
    <row r="823">
      <c r="B823" s="28"/>
      <c r="C823" s="9"/>
    </row>
    <row r="824">
      <c r="B824" s="28"/>
      <c r="C824" s="9"/>
    </row>
    <row r="825">
      <c r="B825" s="28"/>
      <c r="C825" s="9"/>
    </row>
    <row r="826">
      <c r="B826" s="28"/>
      <c r="C826" s="9"/>
    </row>
    <row r="827">
      <c r="B827" s="28"/>
      <c r="C827" s="9"/>
    </row>
    <row r="828">
      <c r="B828" s="28"/>
      <c r="C828" s="9"/>
    </row>
    <row r="829">
      <c r="B829" s="28"/>
      <c r="C829" s="9"/>
    </row>
    <row r="830">
      <c r="B830" s="28"/>
      <c r="C830" s="9"/>
    </row>
    <row r="831">
      <c r="B831" s="28"/>
      <c r="C831" s="9"/>
    </row>
    <row r="832">
      <c r="B832" s="28"/>
      <c r="C832" s="9"/>
    </row>
    <row r="833">
      <c r="B833" s="28"/>
      <c r="C833" s="9"/>
    </row>
    <row r="834">
      <c r="B834" s="28"/>
      <c r="C834" s="9"/>
    </row>
    <row r="835">
      <c r="B835" s="28"/>
      <c r="C835" s="9"/>
    </row>
    <row r="836">
      <c r="B836" s="28"/>
      <c r="C836" s="9"/>
    </row>
    <row r="837">
      <c r="B837" s="28"/>
      <c r="C837" s="9"/>
    </row>
    <row r="838">
      <c r="B838" s="28"/>
      <c r="C838" s="9"/>
    </row>
    <row r="839">
      <c r="B839" s="28"/>
      <c r="C839" s="9"/>
    </row>
    <row r="840">
      <c r="B840" s="28"/>
      <c r="C840" s="9"/>
    </row>
    <row r="841">
      <c r="B841" s="28"/>
      <c r="C841" s="9"/>
    </row>
    <row r="842">
      <c r="B842" s="28"/>
      <c r="C842" s="9"/>
    </row>
    <row r="843">
      <c r="B843" s="28"/>
      <c r="C843" s="9"/>
    </row>
    <row r="844">
      <c r="B844" s="28"/>
      <c r="C844" s="9"/>
    </row>
    <row r="845">
      <c r="B845" s="28"/>
      <c r="C845" s="9"/>
    </row>
    <row r="846">
      <c r="B846" s="28"/>
      <c r="C846" s="9"/>
    </row>
    <row r="847">
      <c r="B847" s="28"/>
      <c r="C847" s="9"/>
    </row>
    <row r="848">
      <c r="B848" s="28"/>
      <c r="C848" s="9"/>
    </row>
    <row r="849">
      <c r="B849" s="28"/>
      <c r="C849" s="9"/>
    </row>
    <row r="850">
      <c r="B850" s="28"/>
      <c r="C850" s="9"/>
    </row>
    <row r="851">
      <c r="B851" s="28"/>
      <c r="C851" s="9"/>
    </row>
    <row r="852">
      <c r="B852" s="28"/>
      <c r="C852" s="9"/>
    </row>
    <row r="853">
      <c r="B853" s="28"/>
      <c r="C853" s="9"/>
    </row>
    <row r="854">
      <c r="B854" s="28"/>
      <c r="C854" s="9"/>
    </row>
    <row r="855">
      <c r="B855" s="28"/>
      <c r="C855" s="9"/>
    </row>
    <row r="856">
      <c r="B856" s="28"/>
      <c r="C856" s="9"/>
    </row>
    <row r="857">
      <c r="B857" s="28"/>
      <c r="C857" s="9"/>
    </row>
    <row r="858">
      <c r="B858" s="28"/>
      <c r="C858" s="9"/>
    </row>
    <row r="859">
      <c r="B859" s="28"/>
      <c r="C859" s="9"/>
    </row>
    <row r="860">
      <c r="B860" s="28"/>
      <c r="C860" s="9"/>
    </row>
    <row r="861">
      <c r="B861" s="28"/>
      <c r="C861" s="9"/>
    </row>
    <row r="862">
      <c r="B862" s="28"/>
      <c r="C862" s="9"/>
    </row>
    <row r="863">
      <c r="B863" s="28"/>
      <c r="C863" s="9"/>
    </row>
    <row r="864">
      <c r="B864" s="28"/>
      <c r="C864" s="9"/>
    </row>
    <row r="865">
      <c r="B865" s="28"/>
      <c r="C865" s="9"/>
    </row>
    <row r="866">
      <c r="B866" s="28"/>
      <c r="C866" s="9"/>
    </row>
    <row r="867">
      <c r="B867" s="28"/>
      <c r="C867" s="9"/>
    </row>
    <row r="868">
      <c r="B868" s="28"/>
      <c r="C868" s="9"/>
    </row>
    <row r="869">
      <c r="B869" s="28"/>
      <c r="C869" s="9"/>
    </row>
    <row r="870">
      <c r="B870" s="28"/>
      <c r="C870" s="9"/>
    </row>
    <row r="871">
      <c r="B871" s="28"/>
      <c r="C871" s="9"/>
    </row>
    <row r="872">
      <c r="B872" s="28"/>
      <c r="C872" s="9"/>
    </row>
    <row r="873">
      <c r="B873" s="28"/>
      <c r="C873" s="9"/>
    </row>
    <row r="874">
      <c r="B874" s="28"/>
      <c r="C874" s="9"/>
    </row>
    <row r="875">
      <c r="B875" s="28"/>
      <c r="C875" s="9"/>
    </row>
    <row r="876">
      <c r="B876" s="28"/>
      <c r="C876" s="9"/>
    </row>
    <row r="877">
      <c r="B877" s="28"/>
      <c r="C877" s="9"/>
    </row>
    <row r="878">
      <c r="B878" s="28"/>
      <c r="C878" s="9"/>
    </row>
    <row r="879">
      <c r="B879" s="28"/>
      <c r="C879" s="9"/>
    </row>
    <row r="880">
      <c r="B880" s="28"/>
      <c r="C880" s="9"/>
    </row>
    <row r="881">
      <c r="B881" s="28"/>
      <c r="C881" s="9"/>
    </row>
    <row r="882">
      <c r="B882" s="28"/>
      <c r="C882" s="9"/>
    </row>
    <row r="883">
      <c r="B883" s="28"/>
      <c r="C883" s="9"/>
    </row>
    <row r="884">
      <c r="B884" s="28"/>
      <c r="C884" s="9"/>
    </row>
    <row r="885">
      <c r="B885" s="28"/>
      <c r="C885" s="9"/>
    </row>
    <row r="886">
      <c r="B886" s="28"/>
      <c r="C886" s="9"/>
    </row>
    <row r="887">
      <c r="B887" s="28"/>
      <c r="C887" s="9"/>
    </row>
    <row r="888">
      <c r="B888" s="28"/>
      <c r="C888" s="9"/>
    </row>
    <row r="889">
      <c r="B889" s="28"/>
      <c r="C889" s="9"/>
    </row>
    <row r="890">
      <c r="B890" s="28"/>
      <c r="C890" s="9"/>
    </row>
    <row r="891">
      <c r="B891" s="28"/>
      <c r="C891" s="9"/>
    </row>
    <row r="892">
      <c r="B892" s="28"/>
      <c r="C892" s="9"/>
    </row>
    <row r="893">
      <c r="B893" s="28"/>
      <c r="C893" s="9"/>
    </row>
    <row r="894">
      <c r="B894" s="28"/>
      <c r="C894" s="9"/>
    </row>
    <row r="895">
      <c r="B895" s="28"/>
      <c r="C895" s="9"/>
    </row>
    <row r="896">
      <c r="B896" s="28"/>
      <c r="C896" s="9"/>
    </row>
    <row r="897">
      <c r="B897" s="28"/>
      <c r="C897" s="9"/>
    </row>
    <row r="898">
      <c r="B898" s="28"/>
      <c r="C898" s="9"/>
    </row>
    <row r="899">
      <c r="B899" s="28"/>
      <c r="C899" s="9"/>
    </row>
    <row r="900">
      <c r="B900" s="28"/>
      <c r="C900" s="9"/>
    </row>
    <row r="901">
      <c r="B901" s="28"/>
      <c r="C901" s="9"/>
    </row>
    <row r="902">
      <c r="B902" s="28"/>
      <c r="C902" s="9"/>
    </row>
    <row r="903">
      <c r="B903" s="28"/>
      <c r="C903" s="9"/>
    </row>
    <row r="904">
      <c r="B904" s="28"/>
      <c r="C904" s="9"/>
    </row>
    <row r="905">
      <c r="B905" s="28"/>
      <c r="C905" s="9"/>
    </row>
    <row r="906">
      <c r="B906" s="28"/>
      <c r="C906" s="9"/>
    </row>
    <row r="907">
      <c r="B907" s="28"/>
      <c r="C907" s="9"/>
    </row>
    <row r="908">
      <c r="B908" s="28"/>
      <c r="C908" s="9"/>
    </row>
    <row r="909">
      <c r="B909" s="28"/>
      <c r="C909" s="9"/>
    </row>
    <row r="910">
      <c r="B910" s="28"/>
      <c r="C910" s="9"/>
    </row>
    <row r="911">
      <c r="B911" s="28"/>
      <c r="C911" s="9"/>
    </row>
    <row r="912">
      <c r="B912" s="28"/>
      <c r="C912" s="9"/>
    </row>
    <row r="913">
      <c r="B913" s="28"/>
      <c r="C913" s="9"/>
    </row>
    <row r="914">
      <c r="B914" s="28"/>
      <c r="C914" s="9"/>
    </row>
    <row r="915">
      <c r="B915" s="28"/>
      <c r="C915" s="9"/>
    </row>
    <row r="916">
      <c r="B916" s="28"/>
      <c r="C916" s="9"/>
    </row>
    <row r="917">
      <c r="B917" s="28"/>
      <c r="C917" s="9"/>
    </row>
    <row r="918">
      <c r="B918" s="28"/>
      <c r="C918" s="9"/>
    </row>
    <row r="919">
      <c r="B919" s="28"/>
      <c r="C919" s="9"/>
    </row>
    <row r="920">
      <c r="B920" s="28"/>
      <c r="C920" s="9"/>
    </row>
    <row r="921">
      <c r="B921" s="28"/>
      <c r="C921" s="9"/>
    </row>
    <row r="922">
      <c r="B922" s="28"/>
      <c r="C922" s="9"/>
    </row>
    <row r="923">
      <c r="B923" s="28"/>
      <c r="C923" s="9"/>
    </row>
    <row r="924">
      <c r="B924" s="28"/>
      <c r="C924" s="9"/>
    </row>
    <row r="925">
      <c r="B925" s="28"/>
      <c r="C925" s="9"/>
    </row>
    <row r="926">
      <c r="B926" s="28"/>
      <c r="C926" s="9"/>
    </row>
    <row r="927">
      <c r="B927" s="28"/>
      <c r="C927" s="9"/>
    </row>
    <row r="928">
      <c r="B928" s="28"/>
      <c r="C928" s="9"/>
    </row>
    <row r="929">
      <c r="B929" s="28"/>
      <c r="C929" s="9"/>
    </row>
    <row r="930">
      <c r="B930" s="28"/>
      <c r="C930" s="9"/>
    </row>
    <row r="931">
      <c r="B931" s="28"/>
      <c r="C931" s="9"/>
    </row>
    <row r="932">
      <c r="B932" s="28"/>
      <c r="C932" s="9"/>
    </row>
    <row r="933">
      <c r="B933" s="28"/>
      <c r="C933" s="9"/>
    </row>
    <row r="934">
      <c r="B934" s="28"/>
      <c r="C934" s="9"/>
    </row>
    <row r="935">
      <c r="B935" s="28"/>
      <c r="C935" s="9"/>
    </row>
    <row r="936">
      <c r="B936" s="28"/>
      <c r="C936" s="9"/>
    </row>
    <row r="937">
      <c r="B937" s="28"/>
      <c r="C937" s="9"/>
    </row>
    <row r="938">
      <c r="B938" s="28"/>
      <c r="C938" s="9"/>
    </row>
    <row r="939">
      <c r="B939" s="28"/>
      <c r="C939" s="9"/>
    </row>
    <row r="940">
      <c r="B940" s="28"/>
      <c r="C940" s="9"/>
    </row>
    <row r="941">
      <c r="B941" s="28"/>
      <c r="C941" s="9"/>
    </row>
    <row r="942">
      <c r="B942" s="28"/>
      <c r="C942" s="9"/>
    </row>
    <row r="943">
      <c r="B943" s="28"/>
      <c r="C943" s="9"/>
    </row>
    <row r="944">
      <c r="B944" s="28"/>
      <c r="C944" s="9"/>
    </row>
    <row r="945">
      <c r="B945" s="28"/>
      <c r="C945" s="9"/>
    </row>
    <row r="946">
      <c r="B946" s="28"/>
      <c r="C946" s="9"/>
    </row>
    <row r="947">
      <c r="B947" s="28"/>
      <c r="C947" s="9"/>
    </row>
    <row r="948">
      <c r="B948" s="28"/>
      <c r="C948" s="9"/>
    </row>
    <row r="949">
      <c r="B949" s="28"/>
      <c r="C949" s="9"/>
    </row>
    <row r="950">
      <c r="B950" s="28"/>
      <c r="C950" s="9"/>
    </row>
    <row r="951">
      <c r="B951" s="28"/>
      <c r="C951" s="9"/>
    </row>
    <row r="952">
      <c r="B952" s="28"/>
      <c r="C952" s="9"/>
    </row>
    <row r="953">
      <c r="B953" s="28"/>
      <c r="C953" s="9"/>
    </row>
    <row r="954">
      <c r="B954" s="28"/>
      <c r="C954" s="9"/>
    </row>
    <row r="955">
      <c r="B955" s="28"/>
      <c r="C955" s="9"/>
    </row>
    <row r="956">
      <c r="B956" s="28"/>
      <c r="C956" s="9"/>
    </row>
    <row r="957">
      <c r="B957" s="28"/>
      <c r="C957" s="9"/>
    </row>
    <row r="958">
      <c r="B958" s="28"/>
      <c r="C958" s="9"/>
    </row>
    <row r="959">
      <c r="B959" s="28"/>
      <c r="C959" s="9"/>
    </row>
    <row r="960">
      <c r="B960" s="28"/>
      <c r="C960" s="9"/>
    </row>
    <row r="961">
      <c r="B961" s="28"/>
      <c r="C961" s="9"/>
    </row>
    <row r="962">
      <c r="B962" s="28"/>
      <c r="C962" s="9"/>
    </row>
    <row r="963">
      <c r="B963" s="28"/>
      <c r="C963" s="9"/>
    </row>
    <row r="964">
      <c r="B964" s="28"/>
      <c r="C964" s="9"/>
    </row>
    <row r="965">
      <c r="B965" s="28"/>
      <c r="C965" s="9"/>
    </row>
    <row r="966">
      <c r="B966" s="28"/>
      <c r="C966" s="9"/>
    </row>
    <row r="967">
      <c r="B967" s="28"/>
      <c r="C967" s="9"/>
    </row>
    <row r="968">
      <c r="B968" s="28"/>
      <c r="C968" s="9"/>
    </row>
    <row r="969">
      <c r="B969" s="28"/>
      <c r="C969" s="9"/>
    </row>
    <row r="970">
      <c r="B970" s="28"/>
      <c r="C970" s="9"/>
    </row>
    <row r="971">
      <c r="B971" s="28"/>
      <c r="C971" s="9"/>
    </row>
    <row r="972">
      <c r="B972" s="28"/>
      <c r="C972" s="9"/>
    </row>
    <row r="973">
      <c r="B973" s="28"/>
      <c r="C973" s="9"/>
    </row>
    <row r="974">
      <c r="B974" s="28"/>
      <c r="C974" s="9"/>
    </row>
    <row r="975">
      <c r="B975" s="28"/>
      <c r="C975" s="9"/>
    </row>
    <row r="976">
      <c r="B976" s="28"/>
      <c r="C976" s="9"/>
    </row>
    <row r="977">
      <c r="B977" s="28"/>
      <c r="C977" s="9"/>
    </row>
    <row r="978">
      <c r="B978" s="28"/>
      <c r="C978" s="9"/>
    </row>
    <row r="979">
      <c r="B979" s="28"/>
      <c r="C979" s="9"/>
    </row>
    <row r="980">
      <c r="B980" s="28"/>
      <c r="C980" s="9"/>
    </row>
    <row r="981">
      <c r="B981" s="28"/>
      <c r="C981" s="9"/>
    </row>
    <row r="982">
      <c r="B982" s="28"/>
      <c r="C982" s="9"/>
    </row>
    <row r="983">
      <c r="B983" s="28"/>
      <c r="C983" s="9"/>
    </row>
    <row r="984">
      <c r="B984" s="28"/>
      <c r="C984" s="9"/>
    </row>
    <row r="985">
      <c r="B985" s="28"/>
      <c r="C985" s="9"/>
    </row>
    <row r="986">
      <c r="B986" s="28"/>
      <c r="C986" s="9"/>
    </row>
    <row r="987">
      <c r="B987" s="28"/>
      <c r="C987" s="9"/>
    </row>
    <row r="988">
      <c r="B988" s="28"/>
      <c r="C988" s="9"/>
    </row>
    <row r="989">
      <c r="B989" s="28"/>
      <c r="C989" s="9"/>
    </row>
    <row r="990">
      <c r="B990" s="28"/>
      <c r="C990" s="9"/>
    </row>
    <row r="991">
      <c r="B991" s="28"/>
      <c r="C991" s="9"/>
    </row>
    <row r="992">
      <c r="B992" s="28"/>
      <c r="C992" s="9"/>
    </row>
    <row r="993">
      <c r="B993" s="28"/>
      <c r="C993" s="9"/>
    </row>
    <row r="994">
      <c r="B994" s="28"/>
      <c r="C994" s="9"/>
    </row>
    <row r="995">
      <c r="B995" s="28"/>
      <c r="C995" s="9"/>
    </row>
    <row r="996">
      <c r="B996" s="28"/>
      <c r="C996" s="9"/>
    </row>
    <row r="997">
      <c r="B997" s="28"/>
      <c r="C997" s="9"/>
    </row>
    <row r="998">
      <c r="B998" s="28"/>
      <c r="C998" s="9"/>
    </row>
    <row r="999">
      <c r="B999" s="28"/>
      <c r="C999" s="9"/>
    </row>
    <row r="1000">
      <c r="B1000" s="28"/>
      <c r="C1000" s="9"/>
    </row>
    <row r="1001">
      <c r="B1001" s="28"/>
      <c r="C1001" s="9"/>
    </row>
    <row r="1002">
      <c r="B1002" s="28"/>
      <c r="C1002" s="9"/>
    </row>
    <row r="1003">
      <c r="B1003" s="28"/>
      <c r="C1003" s="9"/>
    </row>
    <row r="1004">
      <c r="B1004" s="28"/>
      <c r="C1004" s="9"/>
    </row>
    <row r="1005">
      <c r="B1005" s="28"/>
      <c r="C1005" s="9"/>
    </row>
    <row r="1006">
      <c r="B1006" s="28"/>
      <c r="C1006" s="9"/>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70</v>
      </c>
      <c r="D1" s="7" t="s">
        <v>71</v>
      </c>
      <c r="E1" s="7" t="s">
        <v>72</v>
      </c>
      <c r="F1" s="7" t="s">
        <v>73</v>
      </c>
    </row>
    <row r="2">
      <c r="A2" s="8">
        <v>45986.0</v>
      </c>
      <c r="B2" s="6">
        <v>87342.0</v>
      </c>
      <c r="C2" s="9">
        <f t="shared" ref="C2:C20" si="1">B3-B2</f>
        <v>929</v>
      </c>
      <c r="D2" s="9">
        <f t="shared" ref="D2:D20" si="2">if(C3&gt;0,C3,0)</f>
        <v>588</v>
      </c>
      <c r="E2" s="9">
        <f t="shared" ref="E2:E20" si="3">if(C3&lt;0,ABS(C3),0)</f>
        <v>0</v>
      </c>
      <c r="F2" s="29">
        <f>(AVERAGE(D2:D20)/(AVERAGE(D2:D20)+AVERAGE(E2:E20))*100)</f>
        <v>18.09566493</v>
      </c>
    </row>
    <row r="3">
      <c r="A3" s="10">
        <v>45985.0</v>
      </c>
      <c r="B3" s="6">
        <v>88271.0</v>
      </c>
      <c r="C3" s="9">
        <f t="shared" si="1"/>
        <v>588</v>
      </c>
      <c r="D3" s="9">
        <f t="shared" si="2"/>
        <v>0</v>
      </c>
      <c r="E3" s="9">
        <f t="shared" si="3"/>
        <v>4211</v>
      </c>
    </row>
    <row r="4">
      <c r="A4" s="11">
        <v>45984.0</v>
      </c>
      <c r="B4" s="12">
        <v>88859.0</v>
      </c>
      <c r="C4" s="9">
        <f t="shared" si="1"/>
        <v>-4211</v>
      </c>
      <c r="D4" s="9">
        <f t="shared" si="2"/>
        <v>443</v>
      </c>
      <c r="E4" s="9">
        <f t="shared" si="3"/>
        <v>0</v>
      </c>
    </row>
    <row r="5">
      <c r="A5" s="13">
        <v>45983.0</v>
      </c>
      <c r="B5" s="14">
        <v>84648.0</v>
      </c>
      <c r="C5" s="9">
        <f t="shared" si="1"/>
        <v>443</v>
      </c>
      <c r="D5" s="9">
        <f t="shared" si="2"/>
        <v>1540</v>
      </c>
      <c r="E5" s="9">
        <f t="shared" si="3"/>
        <v>0</v>
      </c>
    </row>
    <row r="6">
      <c r="A6" s="13">
        <v>45982.0</v>
      </c>
      <c r="B6" s="14">
        <v>85091.0</v>
      </c>
      <c r="C6" s="9">
        <f t="shared" si="1"/>
        <v>1540</v>
      </c>
      <c r="D6" s="9">
        <f t="shared" si="2"/>
        <v>4835</v>
      </c>
      <c r="E6" s="9">
        <f t="shared" si="3"/>
        <v>0</v>
      </c>
    </row>
    <row r="7">
      <c r="A7" s="13">
        <v>45981.0</v>
      </c>
      <c r="B7" s="14">
        <v>86631.0</v>
      </c>
      <c r="C7" s="9">
        <f t="shared" si="1"/>
        <v>4835</v>
      </c>
      <c r="D7" s="9">
        <f t="shared" si="2"/>
        <v>1483</v>
      </c>
      <c r="E7" s="9">
        <f t="shared" si="3"/>
        <v>0</v>
      </c>
    </row>
    <row r="8">
      <c r="A8" s="13">
        <v>45980.0</v>
      </c>
      <c r="B8" s="21">
        <v>91466.0</v>
      </c>
      <c r="C8" s="9">
        <f t="shared" si="1"/>
        <v>1483</v>
      </c>
      <c r="D8" s="9">
        <f t="shared" si="2"/>
        <v>0</v>
      </c>
      <c r="E8" s="9">
        <f t="shared" si="3"/>
        <v>855</v>
      </c>
    </row>
    <row r="9">
      <c r="A9" s="13">
        <v>45979.0</v>
      </c>
      <c r="B9" s="21">
        <v>92949.0</v>
      </c>
      <c r="C9" s="9">
        <f t="shared" si="1"/>
        <v>-855</v>
      </c>
      <c r="D9" s="9">
        <f t="shared" si="2"/>
        <v>2083</v>
      </c>
      <c r="E9" s="9">
        <f t="shared" si="3"/>
        <v>0</v>
      </c>
    </row>
    <row r="10">
      <c r="A10" s="13">
        <v>45978.0</v>
      </c>
      <c r="B10" s="14">
        <v>92094.0</v>
      </c>
      <c r="C10" s="9">
        <f t="shared" si="1"/>
        <v>2083</v>
      </c>
      <c r="D10" s="9">
        <f t="shared" si="2"/>
        <v>1372</v>
      </c>
      <c r="E10" s="9">
        <f t="shared" si="3"/>
        <v>0</v>
      </c>
    </row>
    <row r="11">
      <c r="A11" s="13">
        <v>45977.0</v>
      </c>
      <c r="B11" s="23">
        <v>94177.0</v>
      </c>
      <c r="C11" s="9">
        <f t="shared" si="1"/>
        <v>1372</v>
      </c>
      <c r="D11" s="9">
        <f t="shared" si="2"/>
        <v>0</v>
      </c>
      <c r="E11" s="9">
        <f t="shared" si="3"/>
        <v>1151</v>
      </c>
    </row>
    <row r="12">
      <c r="A12" s="13">
        <v>45976.0</v>
      </c>
      <c r="B12" s="23">
        <v>95549.0</v>
      </c>
      <c r="C12" s="9">
        <f t="shared" si="1"/>
        <v>-1151</v>
      </c>
      <c r="D12" s="9">
        <f t="shared" si="2"/>
        <v>5299</v>
      </c>
      <c r="E12" s="9">
        <f t="shared" si="3"/>
        <v>0</v>
      </c>
    </row>
    <row r="13">
      <c r="A13" s="13">
        <v>45975.0</v>
      </c>
      <c r="B13" s="23">
        <v>94398.0</v>
      </c>
      <c r="C13" s="9">
        <f t="shared" si="1"/>
        <v>5299</v>
      </c>
      <c r="D13" s="9">
        <f t="shared" si="2"/>
        <v>1966</v>
      </c>
      <c r="E13" s="9">
        <f t="shared" si="3"/>
        <v>0</v>
      </c>
    </row>
    <row r="14">
      <c r="A14" s="13">
        <v>45974.0</v>
      </c>
      <c r="B14" s="23">
        <v>99697.0</v>
      </c>
      <c r="C14" s="9">
        <f t="shared" si="1"/>
        <v>1966</v>
      </c>
      <c r="D14" s="9">
        <f t="shared" si="2"/>
        <v>1334</v>
      </c>
      <c r="E14" s="9">
        <f t="shared" si="3"/>
        <v>0</v>
      </c>
      <c r="F14" s="15" t="s">
        <v>74</v>
      </c>
    </row>
    <row r="15">
      <c r="A15" s="13">
        <v>45973.0</v>
      </c>
      <c r="B15" s="23">
        <v>101663.0</v>
      </c>
      <c r="C15" s="9">
        <f t="shared" si="1"/>
        <v>1334</v>
      </c>
      <c r="D15" s="9">
        <f t="shared" si="2"/>
        <v>3000</v>
      </c>
      <c r="E15" s="9">
        <f t="shared" si="3"/>
        <v>0</v>
      </c>
      <c r="F15" s="15" t="s">
        <v>75</v>
      </c>
    </row>
    <row r="16">
      <c r="A16" s="13">
        <v>45972.0</v>
      </c>
      <c r="B16" s="23">
        <v>102997.0</v>
      </c>
      <c r="C16" s="9">
        <f t="shared" si="1"/>
        <v>3000</v>
      </c>
      <c r="D16" s="9">
        <f t="shared" si="2"/>
        <v>0</v>
      </c>
      <c r="E16" s="9">
        <f t="shared" si="3"/>
        <v>1277</v>
      </c>
    </row>
    <row r="17">
      <c r="A17" s="13">
        <v>45971.0</v>
      </c>
      <c r="B17" s="23">
        <v>105997.0</v>
      </c>
      <c r="C17" s="9">
        <f t="shared" si="1"/>
        <v>-1277</v>
      </c>
      <c r="D17" s="9">
        <f t="shared" si="2"/>
        <v>0</v>
      </c>
      <c r="E17" s="9">
        <f t="shared" si="3"/>
        <v>2438</v>
      </c>
    </row>
    <row r="18">
      <c r="A18" s="24">
        <v>45970.0</v>
      </c>
      <c r="B18" s="23">
        <v>104720.0</v>
      </c>
      <c r="C18" s="9">
        <f t="shared" si="1"/>
        <v>-2438</v>
      </c>
      <c r="D18" s="9">
        <f t="shared" si="2"/>
        <v>1090</v>
      </c>
      <c r="E18" s="9">
        <f t="shared" si="3"/>
        <v>0</v>
      </c>
    </row>
    <row r="19">
      <c r="A19" s="24">
        <v>45969.0</v>
      </c>
      <c r="B19" s="23">
        <v>102282.0</v>
      </c>
      <c r="C19" s="9">
        <f t="shared" si="1"/>
        <v>1090</v>
      </c>
      <c r="D19" s="9">
        <f t="shared" si="2"/>
        <v>0</v>
      </c>
      <c r="E19" s="9">
        <f t="shared" si="3"/>
        <v>103372</v>
      </c>
    </row>
    <row r="20">
      <c r="A20" s="24">
        <v>45968.0</v>
      </c>
      <c r="B20" s="23">
        <v>103372.0</v>
      </c>
      <c r="C20" s="9">
        <f t="shared" si="1"/>
        <v>-103372</v>
      </c>
      <c r="D20" s="9">
        <f t="shared" si="2"/>
        <v>0</v>
      </c>
      <c r="E20" s="9">
        <f t="shared" si="3"/>
        <v>0</v>
      </c>
    </row>
    <row r="21">
      <c r="A21" s="25"/>
      <c r="B21" s="26"/>
      <c r="C21" s="9"/>
      <c r="D21" s="9"/>
      <c r="E21" s="9"/>
    </row>
    <row r="22">
      <c r="A22" s="27"/>
      <c r="B22" s="26"/>
      <c r="C22" s="9"/>
      <c r="D22" s="9"/>
      <c r="E22" s="9"/>
    </row>
    <row r="23">
      <c r="A23" s="27"/>
      <c r="B23" s="28"/>
      <c r="C23" s="9"/>
      <c r="D23" s="9"/>
      <c r="E23" s="9"/>
    </row>
    <row r="24">
      <c r="A24" s="27"/>
      <c r="B24" s="28"/>
      <c r="C24" s="9"/>
      <c r="D24" s="9"/>
      <c r="E24" s="9"/>
    </row>
    <row r="25">
      <c r="A25" s="27"/>
      <c r="B25" s="28"/>
      <c r="C25" s="9"/>
      <c r="D25" s="9"/>
      <c r="E25" s="9"/>
    </row>
    <row r="26">
      <c r="A26" s="27"/>
      <c r="B26" s="28"/>
      <c r="C26" s="9"/>
      <c r="D26" s="9"/>
      <c r="E26" s="9"/>
    </row>
    <row r="27">
      <c r="A27" s="27"/>
      <c r="B27" s="28"/>
      <c r="C27" s="9"/>
      <c r="D27" s="9"/>
      <c r="E27" s="9"/>
    </row>
    <row r="28">
      <c r="A28" s="27"/>
      <c r="B28" s="28"/>
      <c r="C28" s="9"/>
      <c r="D28" s="9"/>
      <c r="E28" s="9"/>
    </row>
    <row r="29">
      <c r="A29" s="27"/>
      <c r="B29" s="28"/>
      <c r="C29" s="9"/>
      <c r="D29" s="9"/>
      <c r="E29" s="9"/>
    </row>
    <row r="30">
      <c r="A30" s="27"/>
      <c r="B30" s="28"/>
      <c r="C30" s="9"/>
      <c r="D30" s="9"/>
      <c r="E30" s="9"/>
    </row>
    <row r="31">
      <c r="A31" s="27"/>
      <c r="B31" s="28"/>
      <c r="C31" s="9"/>
      <c r="D31" s="9"/>
      <c r="E31" s="9"/>
    </row>
    <row r="32">
      <c r="A32" s="27"/>
      <c r="B32" s="28"/>
      <c r="C32" s="9"/>
      <c r="D32" s="9"/>
      <c r="E32" s="9"/>
    </row>
    <row r="33">
      <c r="A33" s="27"/>
      <c r="B33" s="28"/>
      <c r="C33" s="9"/>
      <c r="D33" s="9"/>
      <c r="E33" s="9"/>
    </row>
    <row r="34">
      <c r="A34" s="27"/>
      <c r="B34" s="28"/>
      <c r="C34" s="9"/>
      <c r="D34" s="9"/>
      <c r="E34" s="9"/>
    </row>
    <row r="35">
      <c r="A35" s="27"/>
      <c r="B35" s="28"/>
      <c r="C35" s="9"/>
      <c r="D35" s="9"/>
      <c r="E35" s="9"/>
    </row>
    <row r="36">
      <c r="A36" s="27"/>
      <c r="B36" s="28"/>
      <c r="C36" s="9"/>
      <c r="D36" s="9"/>
      <c r="E36" s="9"/>
    </row>
    <row r="37">
      <c r="A37" s="27"/>
      <c r="B37" s="28"/>
      <c r="C37" s="9"/>
      <c r="D37" s="9"/>
      <c r="E37" s="9"/>
    </row>
    <row r="38">
      <c r="A38" s="27"/>
      <c r="B38" s="28"/>
      <c r="C38" s="9"/>
      <c r="D38" s="9"/>
      <c r="E38" s="9"/>
    </row>
    <row r="39">
      <c r="A39" s="27"/>
      <c r="B39" s="28"/>
      <c r="C39" s="9"/>
      <c r="D39" s="9"/>
      <c r="E39" s="9"/>
    </row>
    <row r="40">
      <c r="A40" s="27"/>
      <c r="B40" s="28"/>
      <c r="C40" s="9"/>
      <c r="D40" s="9"/>
      <c r="E40" s="9"/>
    </row>
    <row r="41">
      <c r="A41" s="27"/>
      <c r="B41" s="28"/>
      <c r="C41" s="9"/>
      <c r="D41" s="9"/>
      <c r="E41" s="9"/>
    </row>
    <row r="42">
      <c r="A42" s="27"/>
      <c r="B42" s="28"/>
      <c r="C42" s="9"/>
      <c r="D42" s="9"/>
      <c r="E42" s="9"/>
    </row>
    <row r="43">
      <c r="A43" s="27"/>
      <c r="B43" s="28"/>
      <c r="C43" s="9"/>
      <c r="D43" s="9"/>
      <c r="E43" s="9"/>
    </row>
    <row r="44">
      <c r="A44" s="27"/>
      <c r="B44" s="28"/>
      <c r="C44" s="9"/>
      <c r="D44" s="9"/>
      <c r="E44" s="9"/>
    </row>
    <row r="45">
      <c r="A45" s="27"/>
      <c r="B45" s="28"/>
      <c r="C45" s="9"/>
      <c r="D45" s="9"/>
      <c r="E45" s="9"/>
    </row>
    <row r="46">
      <c r="A46" s="27"/>
      <c r="B46" s="28"/>
      <c r="C46" s="9"/>
      <c r="D46" s="9"/>
      <c r="E46" s="9"/>
    </row>
    <row r="47">
      <c r="A47" s="27"/>
      <c r="B47" s="28"/>
      <c r="C47" s="9"/>
      <c r="D47" s="9"/>
      <c r="E47" s="9"/>
    </row>
    <row r="48">
      <c r="A48" s="27"/>
      <c r="B48" s="28"/>
      <c r="C48" s="9"/>
      <c r="D48" s="9"/>
      <c r="E48" s="9"/>
    </row>
    <row r="49">
      <c r="A49" s="27"/>
      <c r="B49" s="28"/>
      <c r="C49" s="9"/>
      <c r="D49" s="9"/>
      <c r="E49" s="9"/>
    </row>
    <row r="50">
      <c r="A50" s="27"/>
      <c r="B50" s="28"/>
      <c r="C50" s="9"/>
      <c r="D50" s="9"/>
      <c r="E50" s="9"/>
    </row>
    <row r="51">
      <c r="A51" s="27"/>
      <c r="B51" s="28"/>
      <c r="C51" s="9"/>
      <c r="D51" s="9"/>
      <c r="E51" s="9"/>
    </row>
    <row r="52">
      <c r="A52" s="27"/>
      <c r="B52" s="28"/>
      <c r="C52" s="9"/>
      <c r="D52" s="9"/>
      <c r="E52" s="9"/>
    </row>
    <row r="53">
      <c r="A53" s="27"/>
      <c r="B53" s="28"/>
      <c r="C53" s="9"/>
      <c r="D53" s="9"/>
      <c r="E53" s="9"/>
    </row>
    <row r="54">
      <c r="A54" s="27"/>
      <c r="B54" s="28"/>
      <c r="C54" s="9"/>
      <c r="D54" s="9"/>
      <c r="E54" s="9"/>
    </row>
    <row r="55">
      <c r="A55" s="27"/>
      <c r="B55" s="28"/>
      <c r="C55" s="9"/>
      <c r="D55" s="9"/>
      <c r="E55" s="9"/>
    </row>
    <row r="56">
      <c r="A56" s="27"/>
      <c r="B56" s="28"/>
      <c r="C56" s="9"/>
      <c r="D56" s="9"/>
      <c r="E56" s="9"/>
    </row>
    <row r="57">
      <c r="A57" s="27"/>
      <c r="B57" s="28"/>
      <c r="C57" s="9"/>
      <c r="D57" s="9"/>
      <c r="E57" s="9"/>
    </row>
    <row r="58">
      <c r="A58" s="27"/>
      <c r="B58" s="28"/>
      <c r="C58" s="9"/>
      <c r="D58" s="9"/>
      <c r="E58" s="9"/>
    </row>
    <row r="59">
      <c r="A59" s="27"/>
      <c r="B59" s="28"/>
      <c r="C59" s="9"/>
      <c r="D59" s="9"/>
      <c r="E59" s="9"/>
    </row>
    <row r="60">
      <c r="A60" s="27"/>
      <c r="B60" s="28"/>
      <c r="C60" s="9"/>
      <c r="D60" s="9"/>
      <c r="E60" s="9"/>
    </row>
    <row r="61">
      <c r="A61" s="27"/>
      <c r="B61" s="28"/>
      <c r="C61" s="9"/>
      <c r="D61" s="9"/>
      <c r="E61" s="9"/>
    </row>
    <row r="62">
      <c r="A62" s="27"/>
      <c r="B62" s="28"/>
      <c r="C62" s="9"/>
      <c r="D62" s="9"/>
      <c r="E62" s="9"/>
    </row>
    <row r="63">
      <c r="A63" s="27"/>
      <c r="B63" s="28"/>
      <c r="C63" s="9"/>
      <c r="D63" s="9"/>
      <c r="E63" s="9"/>
    </row>
    <row r="64">
      <c r="A64" s="27"/>
      <c r="B64" s="28"/>
      <c r="C64" s="9"/>
      <c r="D64" s="9"/>
      <c r="E64" s="9"/>
    </row>
    <row r="65">
      <c r="A65" s="27"/>
      <c r="B65" s="28"/>
      <c r="C65" s="9"/>
      <c r="D65" s="9"/>
      <c r="E65" s="9"/>
    </row>
    <row r="66">
      <c r="A66" s="27"/>
      <c r="B66" s="28"/>
      <c r="C66" s="9"/>
      <c r="D66" s="9"/>
      <c r="E66" s="9"/>
    </row>
    <row r="67">
      <c r="A67" s="27"/>
      <c r="B67" s="28"/>
      <c r="C67" s="9"/>
      <c r="D67" s="9"/>
      <c r="E67" s="9"/>
    </row>
    <row r="68">
      <c r="A68" s="27"/>
      <c r="B68" s="28"/>
      <c r="C68" s="9"/>
      <c r="D68" s="9"/>
      <c r="E68" s="9"/>
    </row>
    <row r="69">
      <c r="A69" s="27"/>
      <c r="B69" s="28"/>
      <c r="C69" s="9"/>
      <c r="D69" s="9"/>
      <c r="E69" s="9"/>
    </row>
    <row r="70">
      <c r="A70" s="27"/>
      <c r="B70" s="28"/>
      <c r="C70" s="9"/>
      <c r="D70" s="9"/>
      <c r="E70" s="9"/>
    </row>
    <row r="71">
      <c r="A71" s="27"/>
      <c r="B71" s="28"/>
      <c r="C71" s="9"/>
      <c r="D71" s="9"/>
      <c r="E71" s="9"/>
    </row>
    <row r="72">
      <c r="A72" s="27"/>
      <c r="B72" s="28"/>
      <c r="C72" s="9"/>
      <c r="D72" s="9"/>
      <c r="E72" s="9"/>
    </row>
    <row r="73">
      <c r="A73" s="27"/>
      <c r="B73" s="28"/>
      <c r="C73" s="9"/>
      <c r="D73" s="9"/>
      <c r="E73" s="9"/>
    </row>
    <row r="74">
      <c r="A74" s="27"/>
      <c r="B74" s="28"/>
      <c r="C74" s="9"/>
      <c r="D74" s="9"/>
      <c r="E74" s="9"/>
    </row>
    <row r="75">
      <c r="A75" s="27"/>
      <c r="B75" s="28"/>
      <c r="C75" s="9"/>
      <c r="D75" s="9"/>
      <c r="E75" s="9"/>
    </row>
    <row r="76">
      <c r="A76" s="27"/>
      <c r="B76" s="28"/>
      <c r="C76" s="9"/>
      <c r="D76" s="9"/>
      <c r="E76" s="9"/>
    </row>
    <row r="77">
      <c r="A77" s="27"/>
      <c r="B77" s="28"/>
      <c r="C77" s="9"/>
      <c r="D77" s="9"/>
      <c r="E77" s="9"/>
    </row>
    <row r="78">
      <c r="A78" s="27"/>
      <c r="B78" s="28"/>
      <c r="C78" s="9"/>
      <c r="D78" s="9"/>
      <c r="E78" s="9"/>
    </row>
    <row r="79">
      <c r="A79" s="27"/>
      <c r="B79" s="28"/>
      <c r="C79" s="9"/>
      <c r="D79" s="9"/>
      <c r="E79" s="9"/>
    </row>
    <row r="80">
      <c r="A80" s="27"/>
      <c r="B80" s="28"/>
      <c r="C80" s="9"/>
      <c r="D80" s="9"/>
      <c r="E80" s="9"/>
    </row>
    <row r="81">
      <c r="A81" s="27"/>
      <c r="B81" s="28"/>
      <c r="C81" s="9"/>
      <c r="D81" s="9"/>
      <c r="E81" s="9"/>
    </row>
    <row r="82">
      <c r="A82" s="27"/>
      <c r="B82" s="28"/>
      <c r="C82" s="9"/>
      <c r="D82" s="9"/>
      <c r="E82" s="9"/>
    </row>
    <row r="83">
      <c r="A83" s="27"/>
      <c r="B83" s="28"/>
      <c r="C83" s="9"/>
      <c r="D83" s="9"/>
      <c r="E83" s="9"/>
    </row>
    <row r="84">
      <c r="A84" s="27"/>
      <c r="B84" s="28"/>
      <c r="C84" s="9"/>
      <c r="D84" s="9"/>
      <c r="E84" s="9"/>
    </row>
    <row r="85">
      <c r="A85" s="27"/>
      <c r="B85" s="28"/>
      <c r="C85" s="9"/>
      <c r="D85" s="9"/>
      <c r="E85" s="9"/>
    </row>
    <row r="86">
      <c r="A86" s="27"/>
      <c r="B86" s="28"/>
      <c r="C86" s="9"/>
      <c r="D86" s="9"/>
      <c r="E86" s="9"/>
    </row>
    <row r="87">
      <c r="A87" s="27"/>
      <c r="B87" s="28"/>
      <c r="C87" s="9"/>
      <c r="D87" s="9"/>
      <c r="E87" s="9"/>
    </row>
    <row r="88">
      <c r="A88" s="27"/>
      <c r="B88" s="28"/>
      <c r="C88" s="9"/>
      <c r="D88" s="9"/>
      <c r="E88" s="9"/>
    </row>
    <row r="89">
      <c r="A89" s="27"/>
      <c r="B89" s="28"/>
      <c r="C89" s="9"/>
      <c r="D89" s="9"/>
      <c r="E89" s="9"/>
    </row>
    <row r="90">
      <c r="A90" s="27"/>
      <c r="B90" s="28"/>
      <c r="C90" s="9"/>
      <c r="D90" s="9"/>
      <c r="E90" s="9"/>
    </row>
    <row r="91">
      <c r="A91" s="27"/>
      <c r="B91" s="28"/>
      <c r="C91" s="9"/>
      <c r="D91" s="9"/>
      <c r="E91" s="9"/>
    </row>
    <row r="92">
      <c r="A92" s="27"/>
      <c r="B92" s="28"/>
      <c r="C92" s="9"/>
      <c r="D92" s="9"/>
      <c r="E92" s="9"/>
    </row>
    <row r="93">
      <c r="A93" s="27"/>
      <c r="B93" s="28"/>
      <c r="C93" s="9"/>
      <c r="D93" s="9"/>
      <c r="E93" s="9"/>
    </row>
    <row r="94">
      <c r="A94" s="27"/>
      <c r="B94" s="28"/>
      <c r="C94" s="9"/>
      <c r="D94" s="9"/>
      <c r="E94" s="9"/>
    </row>
    <row r="95">
      <c r="A95" s="27"/>
      <c r="B95" s="28"/>
      <c r="C95" s="9"/>
      <c r="D95" s="9"/>
      <c r="E95" s="9"/>
    </row>
    <row r="96">
      <c r="A96" s="27"/>
      <c r="B96" s="28"/>
      <c r="C96" s="9"/>
      <c r="D96" s="9"/>
      <c r="E96" s="9"/>
    </row>
    <row r="97">
      <c r="A97" s="27"/>
      <c r="B97" s="28"/>
      <c r="C97" s="9"/>
      <c r="D97" s="9"/>
      <c r="E97" s="9"/>
    </row>
    <row r="98">
      <c r="A98" s="27"/>
      <c r="B98" s="28"/>
      <c r="C98" s="9"/>
      <c r="D98" s="9"/>
      <c r="E98" s="9"/>
    </row>
    <row r="99">
      <c r="A99" s="27"/>
      <c r="B99" s="28"/>
      <c r="C99" s="9"/>
      <c r="D99" s="9"/>
      <c r="E99" s="9"/>
    </row>
    <row r="100">
      <c r="A100" s="27"/>
      <c r="B100" s="28"/>
      <c r="C100" s="9"/>
      <c r="D100" s="9"/>
      <c r="E100" s="9"/>
    </row>
    <row r="101">
      <c r="A101" s="27"/>
      <c r="B101" s="28"/>
      <c r="C101" s="9"/>
      <c r="D101" s="9"/>
      <c r="E101" s="9"/>
    </row>
    <row r="102">
      <c r="A102" s="27"/>
      <c r="B102" s="28"/>
      <c r="C102" s="9"/>
      <c r="D102" s="9"/>
      <c r="E102" s="9"/>
    </row>
    <row r="103">
      <c r="A103" s="27"/>
      <c r="B103" s="28"/>
      <c r="C103" s="9"/>
      <c r="D103" s="9"/>
      <c r="E103" s="9"/>
    </row>
    <row r="104">
      <c r="A104" s="27"/>
      <c r="B104" s="28"/>
      <c r="C104" s="9"/>
      <c r="D104" s="9"/>
      <c r="E104" s="9"/>
    </row>
    <row r="105">
      <c r="A105" s="27"/>
      <c r="B105" s="28"/>
      <c r="C105" s="9"/>
      <c r="D105" s="9"/>
      <c r="E105" s="9"/>
    </row>
    <row r="106">
      <c r="A106" s="27"/>
      <c r="B106" s="28"/>
      <c r="C106" s="9"/>
      <c r="D106" s="9"/>
      <c r="E106" s="9"/>
    </row>
    <row r="107">
      <c r="A107" s="27"/>
      <c r="B107" s="28"/>
      <c r="C107" s="9"/>
      <c r="D107" s="9"/>
      <c r="E107" s="9"/>
    </row>
    <row r="108">
      <c r="A108" s="27"/>
      <c r="B108" s="28"/>
      <c r="C108" s="9"/>
      <c r="D108" s="9"/>
      <c r="E108" s="9"/>
    </row>
    <row r="109">
      <c r="A109" s="27"/>
      <c r="B109" s="28"/>
      <c r="C109" s="9"/>
      <c r="D109" s="9"/>
      <c r="E109" s="9"/>
    </row>
    <row r="110">
      <c r="A110" s="27"/>
      <c r="B110" s="28"/>
      <c r="C110" s="9"/>
      <c r="D110" s="9"/>
      <c r="E110" s="9"/>
    </row>
    <row r="111">
      <c r="A111" s="27"/>
      <c r="B111" s="28"/>
      <c r="C111" s="9"/>
      <c r="D111" s="9"/>
      <c r="E111" s="9"/>
    </row>
    <row r="112">
      <c r="A112" s="27"/>
      <c r="B112" s="28"/>
      <c r="C112" s="9"/>
      <c r="D112" s="9"/>
      <c r="E112" s="9"/>
    </row>
    <row r="113">
      <c r="A113" s="27"/>
      <c r="B113" s="28"/>
      <c r="C113" s="9"/>
      <c r="D113" s="9"/>
      <c r="E113" s="9"/>
    </row>
    <row r="114">
      <c r="A114" s="27"/>
      <c r="B114" s="28"/>
      <c r="C114" s="9"/>
      <c r="D114" s="9"/>
      <c r="E114" s="9"/>
    </row>
    <row r="115">
      <c r="A115" s="27"/>
      <c r="B115" s="28"/>
      <c r="C115" s="9"/>
      <c r="D115" s="9"/>
      <c r="E115" s="9"/>
    </row>
    <row r="116">
      <c r="A116" s="27"/>
      <c r="B116" s="28"/>
      <c r="C116" s="9"/>
      <c r="D116" s="9"/>
      <c r="E116" s="9"/>
    </row>
    <row r="117">
      <c r="A117" s="27"/>
      <c r="B117" s="28"/>
      <c r="C117" s="9"/>
      <c r="D117" s="9"/>
      <c r="E117" s="9"/>
    </row>
    <row r="118">
      <c r="A118" s="27"/>
      <c r="B118" s="28"/>
      <c r="C118" s="9"/>
      <c r="D118" s="9"/>
      <c r="E118" s="9"/>
    </row>
    <row r="119">
      <c r="A119" s="27"/>
      <c r="B119" s="28"/>
      <c r="C119" s="9"/>
      <c r="D119" s="9"/>
      <c r="E119" s="9"/>
    </row>
    <row r="120">
      <c r="A120" s="27"/>
      <c r="B120" s="28"/>
      <c r="C120" s="9"/>
      <c r="D120" s="9"/>
      <c r="E120" s="9"/>
    </row>
    <row r="121">
      <c r="A121" s="27"/>
      <c r="B121" s="28"/>
      <c r="C121" s="9"/>
      <c r="D121" s="9"/>
      <c r="E121" s="9"/>
    </row>
    <row r="122">
      <c r="A122" s="27"/>
      <c r="B122" s="28"/>
      <c r="C122" s="9"/>
      <c r="D122" s="9"/>
      <c r="E122" s="9"/>
    </row>
    <row r="123">
      <c r="A123" s="27"/>
      <c r="B123" s="28"/>
      <c r="C123" s="9"/>
      <c r="D123" s="9"/>
      <c r="E123" s="9"/>
    </row>
    <row r="124">
      <c r="A124" s="27"/>
      <c r="B124" s="28"/>
      <c r="C124" s="9"/>
      <c r="D124" s="9"/>
      <c r="E124" s="9"/>
    </row>
    <row r="125">
      <c r="A125" s="27"/>
      <c r="B125" s="28"/>
      <c r="C125" s="9"/>
      <c r="D125" s="9"/>
      <c r="E125" s="9"/>
    </row>
    <row r="126">
      <c r="A126" s="27"/>
      <c r="B126" s="28"/>
      <c r="C126" s="9"/>
      <c r="D126" s="9"/>
      <c r="E126" s="9"/>
    </row>
    <row r="127">
      <c r="A127" s="27"/>
      <c r="B127" s="28"/>
      <c r="C127" s="9"/>
      <c r="D127" s="9"/>
      <c r="E127" s="9"/>
    </row>
    <row r="128">
      <c r="A128" s="27"/>
      <c r="B128" s="28"/>
      <c r="C128" s="9"/>
      <c r="D128" s="9"/>
      <c r="E128" s="9"/>
    </row>
    <row r="129">
      <c r="A129" s="27"/>
      <c r="B129" s="28"/>
      <c r="C129" s="9"/>
      <c r="D129" s="9"/>
      <c r="E129" s="9"/>
    </row>
    <row r="130">
      <c r="A130" s="27"/>
      <c r="B130" s="28"/>
      <c r="C130" s="9"/>
      <c r="D130" s="9"/>
      <c r="E130" s="9"/>
    </row>
    <row r="131">
      <c r="A131" s="27"/>
      <c r="B131" s="28"/>
      <c r="C131" s="9"/>
      <c r="D131" s="9"/>
      <c r="E131" s="9"/>
    </row>
    <row r="132">
      <c r="A132" s="27"/>
      <c r="B132" s="28"/>
      <c r="C132" s="9"/>
      <c r="D132" s="9"/>
      <c r="E132" s="9"/>
    </row>
    <row r="133">
      <c r="A133" s="27"/>
      <c r="B133" s="28"/>
      <c r="C133" s="9"/>
      <c r="D133" s="9"/>
      <c r="E133" s="9"/>
    </row>
    <row r="134">
      <c r="A134" s="27"/>
      <c r="B134" s="28"/>
      <c r="C134" s="9"/>
      <c r="D134" s="9"/>
      <c r="E134" s="9"/>
    </row>
    <row r="135">
      <c r="A135" s="27"/>
      <c r="B135" s="28"/>
      <c r="C135" s="9"/>
      <c r="D135" s="9"/>
      <c r="E135" s="9"/>
    </row>
    <row r="136">
      <c r="A136" s="27"/>
      <c r="B136" s="28"/>
      <c r="C136" s="9"/>
      <c r="D136" s="9"/>
      <c r="E136" s="9"/>
    </row>
    <row r="137">
      <c r="A137" s="27"/>
      <c r="B137" s="28"/>
      <c r="C137" s="9"/>
      <c r="D137" s="9"/>
      <c r="E137" s="9"/>
    </row>
    <row r="138">
      <c r="A138" s="27"/>
      <c r="B138" s="28"/>
      <c r="C138" s="9"/>
      <c r="D138" s="9"/>
      <c r="E138" s="9"/>
    </row>
    <row r="139">
      <c r="A139" s="27"/>
      <c r="B139" s="28"/>
      <c r="C139" s="9"/>
      <c r="D139" s="9"/>
      <c r="E139" s="9"/>
    </row>
    <row r="140">
      <c r="A140" s="27"/>
      <c r="B140" s="28"/>
      <c r="C140" s="9"/>
      <c r="D140" s="9"/>
      <c r="E140" s="9"/>
    </row>
    <row r="141">
      <c r="A141" s="27"/>
      <c r="B141" s="28"/>
      <c r="C141" s="9"/>
      <c r="D141" s="9"/>
      <c r="E141" s="9"/>
    </row>
    <row r="142">
      <c r="A142" s="27"/>
      <c r="B142" s="28"/>
      <c r="C142" s="9"/>
      <c r="D142" s="9"/>
      <c r="E142" s="9"/>
    </row>
    <row r="143">
      <c r="A143" s="27"/>
      <c r="B143" s="28"/>
      <c r="C143" s="9"/>
      <c r="D143" s="9"/>
      <c r="E143" s="9"/>
    </row>
    <row r="144">
      <c r="A144" s="27"/>
      <c r="B144" s="28"/>
      <c r="C144" s="9"/>
      <c r="D144" s="9"/>
      <c r="E144" s="9"/>
    </row>
    <row r="145">
      <c r="A145" s="27"/>
      <c r="B145" s="28"/>
      <c r="C145" s="9"/>
      <c r="D145" s="9"/>
      <c r="E145" s="9"/>
    </row>
    <row r="146">
      <c r="A146" s="27"/>
      <c r="B146" s="28"/>
      <c r="C146" s="9"/>
      <c r="D146" s="9"/>
      <c r="E146" s="9"/>
    </row>
    <row r="147">
      <c r="A147" s="27"/>
      <c r="B147" s="28"/>
      <c r="C147" s="9"/>
      <c r="D147" s="9"/>
      <c r="E147" s="9"/>
    </row>
    <row r="148">
      <c r="A148" s="27"/>
      <c r="B148" s="28"/>
      <c r="C148" s="9"/>
      <c r="D148" s="9"/>
      <c r="E148" s="9"/>
    </row>
    <row r="149">
      <c r="A149" s="27"/>
      <c r="B149" s="28"/>
      <c r="C149" s="9"/>
      <c r="D149" s="9"/>
      <c r="E149" s="9"/>
    </row>
    <row r="150">
      <c r="A150" s="27"/>
      <c r="B150" s="28"/>
      <c r="C150" s="9"/>
      <c r="D150" s="9"/>
      <c r="E150" s="9"/>
    </row>
    <row r="151">
      <c r="A151" s="27"/>
      <c r="B151" s="28"/>
      <c r="C151" s="9"/>
      <c r="D151" s="9"/>
      <c r="E151" s="9"/>
    </row>
    <row r="152">
      <c r="A152" s="27"/>
      <c r="B152" s="28"/>
      <c r="C152" s="9"/>
      <c r="D152" s="9"/>
      <c r="E152" s="9"/>
    </row>
    <row r="153">
      <c r="A153" s="27"/>
      <c r="B153" s="28"/>
      <c r="C153" s="9"/>
      <c r="D153" s="9"/>
      <c r="E153" s="9"/>
    </row>
    <row r="154">
      <c r="A154" s="27"/>
      <c r="B154" s="28"/>
      <c r="C154" s="9"/>
      <c r="D154" s="9"/>
      <c r="E154" s="9"/>
    </row>
    <row r="155">
      <c r="A155" s="27"/>
      <c r="B155" s="28"/>
      <c r="C155" s="9"/>
      <c r="D155" s="9"/>
      <c r="E155" s="9"/>
    </row>
    <row r="156">
      <c r="A156" s="27"/>
      <c r="B156" s="28"/>
      <c r="C156" s="9"/>
      <c r="D156" s="9"/>
      <c r="E156" s="9"/>
    </row>
    <row r="157">
      <c r="A157" s="27"/>
      <c r="B157" s="28"/>
      <c r="C157" s="9"/>
      <c r="D157" s="9"/>
      <c r="E157" s="9"/>
    </row>
    <row r="158">
      <c r="A158" s="27"/>
      <c r="B158" s="28"/>
      <c r="C158" s="9"/>
      <c r="D158" s="9"/>
      <c r="E158" s="9"/>
    </row>
    <row r="159">
      <c r="A159" s="27"/>
      <c r="B159" s="28"/>
      <c r="C159" s="9"/>
      <c r="D159" s="9"/>
      <c r="E159" s="9"/>
    </row>
    <row r="160">
      <c r="A160" s="27"/>
      <c r="B160" s="28"/>
      <c r="C160" s="9"/>
      <c r="D160" s="9"/>
      <c r="E160" s="9"/>
    </row>
    <row r="161">
      <c r="A161" s="27"/>
      <c r="B161" s="28"/>
      <c r="C161" s="9"/>
      <c r="D161" s="9"/>
      <c r="E161" s="9"/>
    </row>
    <row r="162">
      <c r="A162" s="27"/>
      <c r="B162" s="28"/>
      <c r="C162" s="9"/>
      <c r="D162" s="9"/>
      <c r="E162" s="9"/>
    </row>
    <row r="163">
      <c r="A163" s="27"/>
      <c r="B163" s="28"/>
      <c r="C163" s="9"/>
      <c r="D163" s="9"/>
      <c r="E163" s="9"/>
    </row>
    <row r="164">
      <c r="A164" s="27"/>
      <c r="B164" s="28"/>
      <c r="C164" s="9"/>
      <c r="D164" s="9"/>
      <c r="E164" s="9"/>
    </row>
    <row r="165">
      <c r="A165" s="27"/>
      <c r="B165" s="28"/>
      <c r="C165" s="9"/>
      <c r="D165" s="9"/>
      <c r="E165" s="9"/>
    </row>
    <row r="166">
      <c r="A166" s="27"/>
      <c r="B166" s="28"/>
      <c r="C166" s="9"/>
      <c r="D166" s="9"/>
      <c r="E166" s="9"/>
    </row>
    <row r="167">
      <c r="A167" s="27"/>
      <c r="B167" s="28"/>
      <c r="C167" s="9"/>
      <c r="D167" s="9"/>
      <c r="E167" s="9"/>
    </row>
    <row r="168">
      <c r="A168" s="27"/>
      <c r="B168" s="28"/>
      <c r="C168" s="9"/>
      <c r="D168" s="9"/>
      <c r="E168" s="9"/>
    </row>
    <row r="169">
      <c r="A169" s="27"/>
      <c r="B169" s="28"/>
      <c r="C169" s="9"/>
      <c r="D169" s="9"/>
      <c r="E169" s="9"/>
    </row>
    <row r="170">
      <c r="A170" s="27"/>
      <c r="B170" s="28"/>
      <c r="C170" s="9"/>
      <c r="D170" s="9"/>
      <c r="E170" s="9"/>
    </row>
    <row r="171">
      <c r="A171" s="27"/>
      <c r="B171" s="28"/>
      <c r="C171" s="9"/>
      <c r="D171" s="9"/>
      <c r="E171" s="9"/>
    </row>
    <row r="172">
      <c r="A172" s="27"/>
      <c r="B172" s="28"/>
      <c r="C172" s="9"/>
      <c r="D172" s="9"/>
      <c r="E172" s="9"/>
    </row>
    <row r="173">
      <c r="A173" s="27"/>
      <c r="B173" s="28"/>
      <c r="C173" s="9"/>
      <c r="D173" s="9"/>
      <c r="E173" s="9"/>
    </row>
    <row r="174">
      <c r="A174" s="27"/>
      <c r="B174" s="28"/>
      <c r="C174" s="9"/>
      <c r="D174" s="9"/>
      <c r="E174" s="9"/>
    </row>
    <row r="175">
      <c r="A175" s="27"/>
      <c r="B175" s="28"/>
      <c r="C175" s="9"/>
      <c r="D175" s="9"/>
      <c r="E175" s="9"/>
    </row>
    <row r="176">
      <c r="A176" s="27"/>
      <c r="B176" s="28"/>
      <c r="C176" s="9"/>
      <c r="D176" s="9"/>
      <c r="E176" s="9"/>
    </row>
    <row r="177">
      <c r="A177" s="27"/>
      <c r="B177" s="28"/>
      <c r="C177" s="9"/>
      <c r="D177" s="9"/>
      <c r="E177" s="9"/>
    </row>
    <row r="178">
      <c r="A178" s="27"/>
      <c r="B178" s="28"/>
      <c r="C178" s="9"/>
      <c r="D178" s="9"/>
      <c r="E178" s="9"/>
    </row>
    <row r="179">
      <c r="A179" s="27"/>
      <c r="B179" s="28"/>
      <c r="C179" s="9"/>
      <c r="D179" s="9"/>
      <c r="E179" s="9"/>
    </row>
    <row r="180">
      <c r="A180" s="27"/>
      <c r="B180" s="28"/>
      <c r="C180" s="9"/>
      <c r="D180" s="9"/>
      <c r="E180" s="9"/>
    </row>
    <row r="181">
      <c r="A181" s="27"/>
      <c r="B181" s="28"/>
      <c r="C181" s="9"/>
      <c r="D181" s="9"/>
      <c r="E181" s="9"/>
    </row>
    <row r="182">
      <c r="A182" s="27"/>
      <c r="B182" s="28"/>
      <c r="C182" s="9"/>
      <c r="D182" s="9"/>
      <c r="E182" s="9"/>
    </row>
    <row r="183">
      <c r="A183" s="27"/>
      <c r="B183" s="28"/>
      <c r="C183" s="9"/>
      <c r="D183" s="9"/>
      <c r="E183" s="9"/>
    </row>
    <row r="184">
      <c r="A184" s="27"/>
      <c r="B184" s="28"/>
      <c r="C184" s="9"/>
      <c r="D184" s="9"/>
      <c r="E184" s="9"/>
    </row>
    <row r="185">
      <c r="A185" s="27"/>
      <c r="B185" s="28"/>
      <c r="C185" s="9"/>
      <c r="D185" s="9"/>
      <c r="E185" s="9"/>
    </row>
    <row r="186">
      <c r="A186" s="27"/>
      <c r="B186" s="28"/>
      <c r="C186" s="9"/>
      <c r="D186" s="9"/>
      <c r="E186" s="9"/>
    </row>
    <row r="187">
      <c r="A187" s="27"/>
      <c r="B187" s="28"/>
      <c r="C187" s="9"/>
      <c r="D187" s="9"/>
      <c r="E187" s="9"/>
    </row>
    <row r="188">
      <c r="A188" s="27"/>
      <c r="B188" s="28"/>
      <c r="C188" s="9"/>
      <c r="D188" s="9"/>
      <c r="E188" s="9"/>
    </row>
    <row r="189">
      <c r="A189" s="27"/>
      <c r="B189" s="28"/>
      <c r="C189" s="9"/>
      <c r="D189" s="9"/>
      <c r="E189" s="9"/>
    </row>
    <row r="190">
      <c r="A190" s="27"/>
      <c r="B190" s="28"/>
      <c r="C190" s="9"/>
      <c r="D190" s="9"/>
      <c r="E190" s="9"/>
    </row>
    <row r="191">
      <c r="A191" s="27"/>
      <c r="B191" s="28"/>
      <c r="C191" s="9"/>
      <c r="D191" s="9"/>
      <c r="E191" s="9"/>
    </row>
    <row r="192">
      <c r="A192" s="27"/>
      <c r="B192" s="28"/>
      <c r="C192" s="9"/>
      <c r="D192" s="9"/>
      <c r="E192" s="9"/>
    </row>
    <row r="193">
      <c r="A193" s="27"/>
      <c r="B193" s="28"/>
      <c r="C193" s="9"/>
      <c r="D193" s="9"/>
      <c r="E193" s="9"/>
    </row>
    <row r="194">
      <c r="A194" s="27"/>
      <c r="B194" s="28"/>
      <c r="C194" s="9"/>
      <c r="D194" s="9"/>
      <c r="E194" s="9"/>
    </row>
    <row r="195">
      <c r="A195" s="27"/>
      <c r="B195" s="28"/>
      <c r="C195" s="9"/>
      <c r="D195" s="9"/>
      <c r="E195" s="9"/>
    </row>
    <row r="196">
      <c r="A196" s="27"/>
      <c r="B196" s="28"/>
      <c r="C196" s="9"/>
      <c r="D196" s="9"/>
      <c r="E196" s="9"/>
    </row>
    <row r="197">
      <c r="A197" s="27"/>
      <c r="B197" s="28"/>
      <c r="C197" s="9"/>
      <c r="D197" s="9"/>
      <c r="E197" s="9"/>
    </row>
    <row r="198">
      <c r="A198" s="27"/>
      <c r="B198" s="28"/>
      <c r="C198" s="9"/>
      <c r="D198" s="9"/>
      <c r="E198" s="9"/>
    </row>
    <row r="199">
      <c r="A199" s="27"/>
      <c r="B199" s="28"/>
      <c r="C199" s="9"/>
      <c r="D199" s="9"/>
      <c r="E199" s="9"/>
    </row>
    <row r="200">
      <c r="A200" s="27"/>
      <c r="B200" s="28"/>
      <c r="C200" s="9"/>
      <c r="D200" s="9"/>
      <c r="E200" s="9"/>
    </row>
    <row r="201">
      <c r="A201" s="27"/>
      <c r="B201" s="28"/>
      <c r="C201" s="9"/>
      <c r="D201" s="9"/>
      <c r="E201" s="9"/>
    </row>
    <row r="202">
      <c r="A202" s="27"/>
      <c r="B202" s="28"/>
      <c r="C202" s="9"/>
      <c r="D202" s="9"/>
      <c r="E202" s="9"/>
    </row>
    <row r="203">
      <c r="A203" s="27"/>
      <c r="B203" s="28"/>
      <c r="C203" s="9"/>
      <c r="D203" s="9"/>
      <c r="E203" s="9"/>
    </row>
    <row r="204">
      <c r="A204" s="27"/>
      <c r="B204" s="28"/>
      <c r="C204" s="9"/>
      <c r="D204" s="9"/>
      <c r="E204" s="9"/>
    </row>
    <row r="205">
      <c r="A205" s="27"/>
      <c r="B205" s="28"/>
      <c r="C205" s="9"/>
      <c r="D205" s="9"/>
      <c r="E205" s="9"/>
    </row>
    <row r="206">
      <c r="A206" s="27"/>
      <c r="B206" s="28"/>
      <c r="C206" s="9"/>
      <c r="D206" s="9"/>
      <c r="E206" s="9"/>
    </row>
    <row r="207">
      <c r="A207" s="27"/>
      <c r="B207" s="28"/>
      <c r="C207" s="9"/>
      <c r="D207" s="9"/>
      <c r="E207" s="9"/>
    </row>
    <row r="208">
      <c r="A208" s="27"/>
      <c r="B208" s="28"/>
      <c r="C208" s="9"/>
      <c r="D208" s="9"/>
      <c r="E208" s="9"/>
    </row>
    <row r="209">
      <c r="A209" s="27"/>
      <c r="B209" s="28"/>
      <c r="C209" s="9"/>
      <c r="D209" s="9"/>
      <c r="E209" s="9"/>
    </row>
    <row r="210">
      <c r="A210" s="27"/>
      <c r="B210" s="28"/>
      <c r="C210" s="9"/>
      <c r="D210" s="9"/>
      <c r="E210" s="9"/>
    </row>
    <row r="211">
      <c r="A211" s="27"/>
      <c r="B211" s="28"/>
      <c r="C211" s="9"/>
      <c r="D211" s="9"/>
      <c r="E211" s="9"/>
    </row>
    <row r="212">
      <c r="A212" s="27"/>
      <c r="B212" s="28"/>
      <c r="C212" s="9"/>
      <c r="D212" s="9"/>
      <c r="E212" s="9"/>
    </row>
    <row r="213">
      <c r="A213" s="27"/>
      <c r="B213" s="28"/>
      <c r="C213" s="9"/>
      <c r="D213" s="9"/>
      <c r="E213" s="9"/>
    </row>
    <row r="214">
      <c r="A214" s="27"/>
      <c r="B214" s="28"/>
      <c r="C214" s="9"/>
      <c r="D214" s="9"/>
      <c r="E214" s="9"/>
    </row>
    <row r="215">
      <c r="A215" s="27"/>
      <c r="B215" s="28"/>
      <c r="C215" s="9"/>
      <c r="D215" s="9"/>
      <c r="E215" s="9"/>
    </row>
    <row r="216">
      <c r="A216" s="27"/>
      <c r="B216" s="28"/>
      <c r="C216" s="9"/>
      <c r="D216" s="9"/>
      <c r="E216" s="9"/>
    </row>
    <row r="217">
      <c r="A217" s="27"/>
      <c r="B217" s="28"/>
      <c r="C217" s="9"/>
      <c r="D217" s="9"/>
      <c r="E217" s="9"/>
    </row>
    <row r="218">
      <c r="A218" s="27"/>
      <c r="B218" s="28"/>
      <c r="C218" s="9"/>
      <c r="D218" s="9"/>
      <c r="E218" s="9"/>
    </row>
    <row r="219">
      <c r="A219" s="27"/>
      <c r="B219" s="28"/>
      <c r="C219" s="9"/>
      <c r="D219" s="9"/>
      <c r="E219" s="9"/>
    </row>
    <row r="220">
      <c r="A220" s="27"/>
      <c r="B220" s="28"/>
      <c r="C220" s="9"/>
      <c r="D220" s="9"/>
      <c r="E220" s="9"/>
    </row>
    <row r="221">
      <c r="A221" s="27"/>
      <c r="B221" s="28"/>
      <c r="C221" s="9"/>
      <c r="D221" s="9"/>
      <c r="E221" s="9"/>
    </row>
    <row r="222">
      <c r="A222" s="27"/>
      <c r="B222" s="28"/>
      <c r="C222" s="9"/>
      <c r="D222" s="9"/>
      <c r="E222" s="9"/>
    </row>
    <row r="223">
      <c r="A223" s="27"/>
      <c r="B223" s="28"/>
      <c r="C223" s="9"/>
      <c r="D223" s="9"/>
      <c r="E223" s="9"/>
    </row>
    <row r="224">
      <c r="A224" s="27"/>
      <c r="B224" s="28"/>
      <c r="C224" s="9"/>
      <c r="D224" s="9"/>
      <c r="E224" s="9"/>
    </row>
    <row r="225">
      <c r="A225" s="27"/>
      <c r="B225" s="28"/>
      <c r="C225" s="9"/>
      <c r="D225" s="9"/>
      <c r="E225" s="9"/>
    </row>
    <row r="226">
      <c r="A226" s="27"/>
      <c r="B226" s="28"/>
      <c r="C226" s="9"/>
      <c r="D226" s="9"/>
      <c r="E226" s="9"/>
    </row>
    <row r="227">
      <c r="A227" s="27"/>
      <c r="B227" s="28"/>
      <c r="C227" s="9"/>
      <c r="D227" s="9"/>
      <c r="E227" s="9"/>
    </row>
    <row r="228">
      <c r="A228" s="27"/>
      <c r="B228" s="28"/>
      <c r="C228" s="9"/>
      <c r="D228" s="9"/>
      <c r="E228" s="9"/>
    </row>
    <row r="229">
      <c r="A229" s="27"/>
      <c r="B229" s="28"/>
      <c r="C229" s="9"/>
      <c r="D229" s="9"/>
      <c r="E229" s="9"/>
    </row>
    <row r="230">
      <c r="A230" s="27"/>
      <c r="B230" s="28"/>
      <c r="C230" s="9"/>
      <c r="D230" s="9"/>
      <c r="E230" s="9"/>
    </row>
    <row r="231">
      <c r="A231" s="27"/>
      <c r="B231" s="28"/>
      <c r="C231" s="9"/>
      <c r="D231" s="9"/>
      <c r="E231" s="9"/>
    </row>
    <row r="232">
      <c r="A232" s="27"/>
      <c r="B232" s="28"/>
      <c r="C232" s="9"/>
      <c r="D232" s="9"/>
      <c r="E232" s="9"/>
    </row>
    <row r="233">
      <c r="A233" s="27"/>
      <c r="B233" s="28"/>
      <c r="C233" s="9"/>
      <c r="D233" s="9"/>
      <c r="E233" s="9"/>
    </row>
    <row r="234">
      <c r="A234" s="27"/>
      <c r="B234" s="28"/>
      <c r="C234" s="9"/>
      <c r="D234" s="9"/>
      <c r="E234" s="9"/>
    </row>
    <row r="235">
      <c r="A235" s="27"/>
      <c r="B235" s="28"/>
      <c r="C235" s="9"/>
      <c r="D235" s="9"/>
      <c r="E235" s="9"/>
    </row>
    <row r="236">
      <c r="A236" s="27"/>
      <c r="B236" s="28"/>
      <c r="C236" s="9"/>
      <c r="D236" s="9"/>
      <c r="E236" s="9"/>
    </row>
    <row r="237">
      <c r="A237" s="27"/>
      <c r="B237" s="28"/>
      <c r="C237" s="9"/>
      <c r="D237" s="9"/>
      <c r="E237" s="9"/>
    </row>
    <row r="238">
      <c r="A238" s="27"/>
      <c r="B238" s="28"/>
      <c r="C238" s="9"/>
      <c r="D238" s="9"/>
      <c r="E238" s="9"/>
    </row>
    <row r="239">
      <c r="A239" s="27"/>
      <c r="B239" s="28"/>
      <c r="C239" s="9"/>
      <c r="D239" s="9"/>
      <c r="E239" s="9"/>
    </row>
    <row r="240">
      <c r="A240" s="27"/>
      <c r="B240" s="28"/>
      <c r="C240" s="9"/>
      <c r="D240" s="9"/>
      <c r="E240" s="9"/>
    </row>
    <row r="241">
      <c r="A241" s="27"/>
      <c r="B241" s="28"/>
      <c r="C241" s="9"/>
      <c r="D241" s="9"/>
      <c r="E241" s="9"/>
    </row>
    <row r="242">
      <c r="A242" s="27"/>
      <c r="B242" s="28"/>
      <c r="C242" s="9"/>
      <c r="D242" s="9"/>
      <c r="E242" s="9"/>
    </row>
    <row r="243">
      <c r="A243" s="27"/>
      <c r="B243" s="28"/>
      <c r="C243" s="9"/>
      <c r="D243" s="9"/>
      <c r="E243" s="9"/>
    </row>
    <row r="244">
      <c r="A244" s="27"/>
      <c r="B244" s="28"/>
      <c r="C244" s="9"/>
      <c r="D244" s="9"/>
      <c r="E244" s="9"/>
    </row>
    <row r="245">
      <c r="A245" s="27"/>
      <c r="B245" s="28"/>
      <c r="C245" s="9"/>
      <c r="D245" s="9"/>
      <c r="E245" s="9"/>
    </row>
    <row r="246">
      <c r="A246" s="27"/>
      <c r="B246" s="28"/>
      <c r="C246" s="9"/>
      <c r="D246" s="9"/>
      <c r="E246" s="9"/>
    </row>
    <row r="247">
      <c r="A247" s="27"/>
      <c r="B247" s="28"/>
      <c r="C247" s="9"/>
      <c r="D247" s="9"/>
      <c r="E247" s="9"/>
    </row>
    <row r="248">
      <c r="A248" s="27"/>
      <c r="B248" s="28"/>
      <c r="C248" s="9"/>
      <c r="D248" s="9"/>
      <c r="E248" s="9"/>
    </row>
    <row r="249">
      <c r="A249" s="27"/>
      <c r="B249" s="28"/>
      <c r="C249" s="9"/>
      <c r="D249" s="9"/>
      <c r="E249" s="9"/>
    </row>
    <row r="250">
      <c r="A250" s="27"/>
      <c r="B250" s="28"/>
      <c r="C250" s="9"/>
      <c r="D250" s="9"/>
      <c r="E250" s="9"/>
    </row>
    <row r="251">
      <c r="A251" s="27"/>
      <c r="B251" s="28"/>
      <c r="C251" s="9"/>
      <c r="D251" s="9"/>
      <c r="E251" s="9"/>
    </row>
    <row r="252">
      <c r="A252" s="27"/>
      <c r="B252" s="28"/>
      <c r="C252" s="9"/>
      <c r="D252" s="9"/>
      <c r="E252" s="9"/>
    </row>
    <row r="253">
      <c r="A253" s="27"/>
      <c r="B253" s="28"/>
      <c r="C253" s="9"/>
      <c r="D253" s="9"/>
      <c r="E253" s="9"/>
    </row>
    <row r="254">
      <c r="A254" s="27"/>
      <c r="B254" s="28"/>
      <c r="C254" s="9"/>
      <c r="D254" s="9"/>
      <c r="E254" s="9"/>
    </row>
    <row r="255">
      <c r="A255" s="27"/>
      <c r="B255" s="28"/>
      <c r="C255" s="9"/>
      <c r="D255" s="9"/>
      <c r="E255" s="9"/>
    </row>
    <row r="256">
      <c r="A256" s="27"/>
      <c r="B256" s="28"/>
      <c r="C256" s="9"/>
      <c r="D256" s="9"/>
      <c r="E256" s="9"/>
    </row>
    <row r="257">
      <c r="A257" s="27"/>
      <c r="B257" s="28"/>
      <c r="C257" s="9"/>
      <c r="D257" s="9"/>
      <c r="E257" s="9"/>
    </row>
    <row r="258">
      <c r="A258" s="27"/>
      <c r="B258" s="28"/>
      <c r="C258" s="9"/>
      <c r="D258" s="9"/>
      <c r="E258" s="9"/>
    </row>
    <row r="259">
      <c r="A259" s="27"/>
      <c r="B259" s="28"/>
      <c r="C259" s="9"/>
      <c r="D259" s="9"/>
      <c r="E259" s="9"/>
    </row>
    <row r="260">
      <c r="A260" s="27"/>
      <c r="B260" s="28"/>
      <c r="C260" s="9"/>
      <c r="D260" s="9"/>
      <c r="E260" s="9"/>
    </row>
    <row r="261">
      <c r="A261" s="27"/>
      <c r="B261" s="28"/>
      <c r="C261" s="9"/>
      <c r="D261" s="9"/>
      <c r="E261" s="9"/>
    </row>
    <row r="262">
      <c r="A262" s="27"/>
      <c r="B262" s="28"/>
      <c r="C262" s="9"/>
      <c r="D262" s="9"/>
      <c r="E262" s="9"/>
    </row>
    <row r="263">
      <c r="A263" s="27"/>
      <c r="B263" s="28"/>
      <c r="C263" s="9"/>
      <c r="D263" s="9"/>
      <c r="E263" s="9"/>
    </row>
    <row r="264">
      <c r="A264" s="27"/>
      <c r="B264" s="28"/>
      <c r="C264" s="9"/>
      <c r="D264" s="9"/>
      <c r="E264" s="9"/>
    </row>
    <row r="265">
      <c r="A265" s="27"/>
      <c r="B265" s="28"/>
      <c r="C265" s="9"/>
      <c r="D265" s="9"/>
      <c r="E265" s="9"/>
    </row>
    <row r="266">
      <c r="A266" s="27"/>
      <c r="B266" s="28"/>
      <c r="C266" s="9"/>
      <c r="D266" s="9"/>
      <c r="E266" s="9"/>
    </row>
    <row r="267">
      <c r="A267" s="27"/>
      <c r="B267" s="28"/>
      <c r="C267" s="9"/>
      <c r="D267" s="9"/>
      <c r="E267" s="9"/>
    </row>
    <row r="268">
      <c r="A268" s="27"/>
      <c r="B268" s="28"/>
      <c r="C268" s="9"/>
      <c r="D268" s="9"/>
      <c r="E268" s="9"/>
    </row>
    <row r="269">
      <c r="A269" s="27"/>
      <c r="B269" s="28"/>
      <c r="C269" s="9"/>
      <c r="D269" s="9"/>
      <c r="E269" s="9"/>
    </row>
    <row r="270">
      <c r="A270" s="27"/>
      <c r="B270" s="28"/>
      <c r="C270" s="9"/>
      <c r="D270" s="9"/>
      <c r="E270" s="9"/>
    </row>
    <row r="271">
      <c r="A271" s="27"/>
      <c r="B271" s="28"/>
      <c r="C271" s="9"/>
      <c r="D271" s="9"/>
      <c r="E271" s="9"/>
    </row>
    <row r="272">
      <c r="A272" s="27"/>
      <c r="B272" s="28"/>
      <c r="C272" s="9"/>
      <c r="D272" s="9"/>
      <c r="E272" s="9"/>
    </row>
    <row r="273">
      <c r="A273" s="27"/>
      <c r="B273" s="28"/>
      <c r="C273" s="9"/>
      <c r="D273" s="9"/>
      <c r="E273" s="9"/>
    </row>
    <row r="274">
      <c r="A274" s="27"/>
      <c r="B274" s="28"/>
      <c r="C274" s="9"/>
      <c r="D274" s="9"/>
      <c r="E274" s="9"/>
    </row>
    <row r="275">
      <c r="A275" s="27"/>
      <c r="B275" s="28"/>
      <c r="C275" s="9"/>
      <c r="D275" s="9"/>
      <c r="E275" s="9"/>
    </row>
    <row r="276">
      <c r="A276" s="27"/>
      <c r="B276" s="28"/>
      <c r="C276" s="9"/>
      <c r="D276" s="9"/>
      <c r="E276" s="9"/>
    </row>
    <row r="277">
      <c r="A277" s="27"/>
      <c r="B277" s="28"/>
      <c r="C277" s="9"/>
      <c r="D277" s="9"/>
      <c r="E277" s="9"/>
    </row>
    <row r="278">
      <c r="A278" s="27"/>
      <c r="B278" s="28"/>
      <c r="C278" s="9"/>
      <c r="D278" s="9"/>
      <c r="E278" s="9"/>
    </row>
    <row r="279">
      <c r="A279" s="27"/>
      <c r="B279" s="28"/>
      <c r="C279" s="9"/>
      <c r="D279" s="9"/>
      <c r="E279" s="9"/>
    </row>
    <row r="280">
      <c r="A280" s="27"/>
      <c r="B280" s="28"/>
      <c r="C280" s="9"/>
      <c r="D280" s="9"/>
      <c r="E280" s="9"/>
    </row>
    <row r="281">
      <c r="A281" s="27"/>
      <c r="B281" s="28"/>
      <c r="C281" s="9"/>
      <c r="D281" s="9"/>
      <c r="E281" s="9"/>
    </row>
    <row r="282">
      <c r="A282" s="27"/>
      <c r="B282" s="28"/>
      <c r="C282" s="9"/>
      <c r="D282" s="9"/>
      <c r="E282" s="9"/>
    </row>
    <row r="283">
      <c r="A283" s="27"/>
      <c r="B283" s="28"/>
      <c r="C283" s="9"/>
      <c r="D283" s="9"/>
      <c r="E283" s="9"/>
    </row>
    <row r="284">
      <c r="A284" s="27"/>
      <c r="B284" s="28"/>
      <c r="C284" s="9"/>
      <c r="D284" s="9"/>
      <c r="E284" s="9"/>
    </row>
    <row r="285">
      <c r="A285" s="27"/>
      <c r="B285" s="28"/>
      <c r="C285" s="9"/>
      <c r="D285" s="9"/>
      <c r="E285" s="9"/>
    </row>
    <row r="286">
      <c r="A286" s="27"/>
      <c r="B286" s="28"/>
      <c r="C286" s="9"/>
      <c r="D286" s="9"/>
      <c r="E286" s="9"/>
    </row>
    <row r="287">
      <c r="A287" s="27"/>
      <c r="B287" s="28"/>
      <c r="C287" s="9"/>
      <c r="D287" s="9"/>
      <c r="E287" s="9"/>
    </row>
    <row r="288">
      <c r="A288" s="27"/>
      <c r="B288" s="28"/>
      <c r="C288" s="9"/>
      <c r="D288" s="9"/>
      <c r="E288" s="9"/>
    </row>
    <row r="289">
      <c r="A289" s="27"/>
      <c r="B289" s="28"/>
      <c r="C289" s="9"/>
      <c r="D289" s="9"/>
      <c r="E289" s="9"/>
    </row>
    <row r="290">
      <c r="A290" s="27"/>
      <c r="B290" s="28"/>
      <c r="C290" s="9"/>
      <c r="D290" s="9"/>
      <c r="E290" s="9"/>
    </row>
    <row r="291">
      <c r="A291" s="27"/>
      <c r="B291" s="28"/>
      <c r="C291" s="9"/>
      <c r="D291" s="9"/>
      <c r="E291" s="9"/>
    </row>
    <row r="292">
      <c r="A292" s="27"/>
      <c r="B292" s="28"/>
      <c r="C292" s="9"/>
      <c r="D292" s="9"/>
      <c r="E292" s="9"/>
    </row>
    <row r="293">
      <c r="A293" s="27"/>
      <c r="B293" s="28"/>
      <c r="C293" s="9"/>
      <c r="D293" s="9"/>
      <c r="E293" s="9"/>
    </row>
    <row r="294">
      <c r="A294" s="27"/>
      <c r="B294" s="28"/>
      <c r="C294" s="9"/>
      <c r="D294" s="9"/>
      <c r="E294" s="9"/>
    </row>
    <row r="295">
      <c r="A295" s="27"/>
      <c r="B295" s="28"/>
      <c r="C295" s="9"/>
      <c r="D295" s="9"/>
      <c r="E295" s="9"/>
    </row>
    <row r="296">
      <c r="A296" s="27"/>
      <c r="B296" s="28"/>
      <c r="C296" s="9"/>
      <c r="D296" s="9"/>
      <c r="E296" s="9"/>
    </row>
    <row r="297">
      <c r="A297" s="27"/>
      <c r="B297" s="28"/>
      <c r="C297" s="9"/>
      <c r="D297" s="9"/>
      <c r="E297" s="9"/>
    </row>
    <row r="298">
      <c r="A298" s="27"/>
      <c r="B298" s="28"/>
      <c r="C298" s="9"/>
      <c r="D298" s="9"/>
      <c r="E298" s="9"/>
    </row>
    <row r="299">
      <c r="A299" s="27"/>
      <c r="B299" s="28"/>
      <c r="C299" s="9"/>
      <c r="D299" s="9"/>
      <c r="E299" s="9"/>
    </row>
    <row r="300">
      <c r="A300" s="27"/>
      <c r="B300" s="28"/>
      <c r="C300" s="9"/>
      <c r="D300" s="9"/>
      <c r="E300" s="9"/>
    </row>
    <row r="301">
      <c r="A301" s="27"/>
      <c r="B301" s="28"/>
      <c r="C301" s="9"/>
      <c r="D301" s="9"/>
      <c r="E301" s="9"/>
    </row>
    <row r="302">
      <c r="A302" s="27"/>
      <c r="B302" s="28"/>
      <c r="C302" s="9"/>
      <c r="D302" s="9"/>
      <c r="E302" s="9"/>
    </row>
    <row r="303">
      <c r="A303" s="27"/>
      <c r="B303" s="28"/>
      <c r="C303" s="9"/>
      <c r="D303" s="9"/>
      <c r="E303" s="9"/>
    </row>
    <row r="304">
      <c r="A304" s="27"/>
      <c r="B304" s="28"/>
      <c r="C304" s="9"/>
      <c r="D304" s="9"/>
      <c r="E304" s="9"/>
    </row>
    <row r="305">
      <c r="A305" s="27"/>
      <c r="B305" s="28"/>
      <c r="C305" s="9"/>
      <c r="D305" s="9"/>
      <c r="E305" s="9"/>
    </row>
    <row r="306">
      <c r="A306" s="27"/>
      <c r="B306" s="28"/>
      <c r="C306" s="9"/>
      <c r="D306" s="9"/>
      <c r="E306" s="9"/>
    </row>
    <row r="307">
      <c r="A307" s="27"/>
      <c r="B307" s="28"/>
      <c r="C307" s="9"/>
      <c r="D307" s="9"/>
      <c r="E307" s="9"/>
    </row>
    <row r="308">
      <c r="A308" s="27"/>
      <c r="B308" s="28"/>
      <c r="C308" s="9"/>
      <c r="D308" s="9"/>
      <c r="E308" s="9"/>
    </row>
    <row r="309">
      <c r="A309" s="27"/>
      <c r="B309" s="28"/>
      <c r="C309" s="9"/>
      <c r="D309" s="9"/>
      <c r="E309" s="9"/>
    </row>
    <row r="310">
      <c r="A310" s="27"/>
      <c r="B310" s="28"/>
      <c r="C310" s="9"/>
      <c r="D310" s="9"/>
      <c r="E310" s="9"/>
    </row>
    <row r="311">
      <c r="A311" s="27"/>
      <c r="B311" s="28"/>
      <c r="C311" s="9"/>
      <c r="D311" s="9"/>
      <c r="E311" s="9"/>
    </row>
    <row r="312">
      <c r="A312" s="27"/>
      <c r="B312" s="28"/>
      <c r="C312" s="9"/>
      <c r="D312" s="9"/>
      <c r="E312" s="9"/>
    </row>
    <row r="313">
      <c r="A313" s="27"/>
      <c r="B313" s="28"/>
      <c r="C313" s="9"/>
      <c r="D313" s="9"/>
      <c r="E313" s="9"/>
    </row>
    <row r="314">
      <c r="A314" s="27"/>
      <c r="B314" s="28"/>
      <c r="C314" s="9"/>
      <c r="D314" s="9"/>
      <c r="E314" s="9"/>
    </row>
    <row r="315">
      <c r="A315" s="27"/>
      <c r="B315" s="28"/>
      <c r="C315" s="9"/>
      <c r="D315" s="9"/>
      <c r="E315" s="9"/>
    </row>
    <row r="316">
      <c r="A316" s="27"/>
      <c r="B316" s="28"/>
      <c r="C316" s="9"/>
      <c r="D316" s="9"/>
      <c r="E316" s="9"/>
    </row>
    <row r="317">
      <c r="A317" s="27"/>
      <c r="B317" s="28"/>
      <c r="C317" s="9"/>
      <c r="D317" s="9"/>
      <c r="E317" s="9"/>
    </row>
    <row r="318">
      <c r="A318" s="27"/>
      <c r="B318" s="28"/>
      <c r="C318" s="9"/>
      <c r="D318" s="9"/>
      <c r="E318" s="9"/>
    </row>
    <row r="319">
      <c r="A319" s="27"/>
      <c r="B319" s="28"/>
      <c r="C319" s="9"/>
      <c r="D319" s="9"/>
      <c r="E319" s="9"/>
    </row>
    <row r="320">
      <c r="A320" s="27"/>
      <c r="B320" s="28"/>
      <c r="C320" s="9"/>
      <c r="D320" s="9"/>
      <c r="E320" s="9"/>
    </row>
    <row r="321">
      <c r="A321" s="27"/>
      <c r="B321" s="28"/>
      <c r="C321" s="9"/>
      <c r="D321" s="9"/>
      <c r="E321" s="9"/>
    </row>
    <row r="322">
      <c r="A322" s="27"/>
      <c r="B322" s="28"/>
      <c r="C322" s="9"/>
      <c r="D322" s="9"/>
      <c r="E322" s="9"/>
    </row>
    <row r="323">
      <c r="A323" s="27"/>
      <c r="B323" s="28"/>
      <c r="C323" s="9"/>
      <c r="D323" s="9"/>
      <c r="E323" s="9"/>
    </row>
    <row r="324">
      <c r="A324" s="27"/>
      <c r="B324" s="28"/>
      <c r="C324" s="9"/>
      <c r="D324" s="9"/>
      <c r="E324" s="9"/>
    </row>
    <row r="325">
      <c r="A325" s="27"/>
      <c r="B325" s="28"/>
      <c r="C325" s="9"/>
      <c r="D325" s="9"/>
      <c r="E325" s="9"/>
    </row>
    <row r="326">
      <c r="A326" s="27"/>
      <c r="B326" s="28"/>
      <c r="C326" s="9"/>
      <c r="D326" s="9"/>
      <c r="E326" s="9"/>
    </row>
    <row r="327">
      <c r="A327" s="27"/>
      <c r="B327" s="28"/>
      <c r="C327" s="9"/>
      <c r="D327" s="9"/>
      <c r="E327" s="9"/>
    </row>
    <row r="328">
      <c r="A328" s="27"/>
      <c r="B328" s="28"/>
      <c r="C328" s="9"/>
      <c r="D328" s="9"/>
      <c r="E328" s="9"/>
    </row>
    <row r="329">
      <c r="A329" s="27"/>
      <c r="B329" s="28"/>
      <c r="C329" s="9"/>
      <c r="D329" s="9"/>
      <c r="E329" s="9"/>
    </row>
    <row r="330">
      <c r="A330" s="27"/>
      <c r="B330" s="28"/>
      <c r="C330" s="9"/>
      <c r="D330" s="9"/>
      <c r="E330" s="9"/>
    </row>
    <row r="331">
      <c r="A331" s="27"/>
      <c r="B331" s="28"/>
      <c r="C331" s="9"/>
      <c r="D331" s="9"/>
      <c r="E331" s="9"/>
    </row>
    <row r="332">
      <c r="A332" s="27"/>
      <c r="B332" s="28"/>
      <c r="C332" s="9"/>
      <c r="D332" s="9"/>
      <c r="E332" s="9"/>
    </row>
    <row r="333">
      <c r="A333" s="27"/>
      <c r="B333" s="28"/>
      <c r="C333" s="9"/>
      <c r="D333" s="9"/>
      <c r="E333" s="9"/>
    </row>
    <row r="334">
      <c r="A334" s="27"/>
      <c r="B334" s="28"/>
      <c r="C334" s="9"/>
      <c r="D334" s="9"/>
      <c r="E334" s="9"/>
    </row>
    <row r="335">
      <c r="A335" s="27"/>
      <c r="B335" s="28"/>
      <c r="C335" s="9"/>
      <c r="D335" s="9"/>
      <c r="E335" s="9"/>
    </row>
    <row r="336">
      <c r="A336" s="27"/>
      <c r="B336" s="28"/>
      <c r="C336" s="9"/>
      <c r="D336" s="9"/>
      <c r="E336" s="9"/>
    </row>
    <row r="337">
      <c r="A337" s="27"/>
      <c r="B337" s="28"/>
      <c r="C337" s="9"/>
      <c r="D337" s="9"/>
      <c r="E337" s="9"/>
    </row>
    <row r="338">
      <c r="A338" s="27"/>
      <c r="B338" s="28"/>
      <c r="C338" s="9"/>
      <c r="D338" s="9"/>
      <c r="E338" s="9"/>
    </row>
    <row r="339">
      <c r="A339" s="27"/>
      <c r="B339" s="28"/>
      <c r="C339" s="9"/>
      <c r="D339" s="9"/>
      <c r="E339" s="9"/>
    </row>
    <row r="340">
      <c r="A340" s="27"/>
      <c r="B340" s="28"/>
      <c r="C340" s="9"/>
      <c r="D340" s="9"/>
      <c r="E340" s="9"/>
    </row>
    <row r="341">
      <c r="A341" s="27"/>
      <c r="B341" s="28"/>
      <c r="C341" s="9"/>
      <c r="D341" s="9"/>
      <c r="E341" s="9"/>
    </row>
    <row r="342">
      <c r="A342" s="27"/>
      <c r="B342" s="28"/>
      <c r="C342" s="9"/>
      <c r="D342" s="9"/>
      <c r="E342" s="9"/>
    </row>
    <row r="343">
      <c r="A343" s="27"/>
      <c r="B343" s="28"/>
      <c r="C343" s="9"/>
      <c r="D343" s="9"/>
      <c r="E343" s="9"/>
    </row>
    <row r="344">
      <c r="A344" s="27"/>
      <c r="B344" s="28"/>
      <c r="C344" s="9"/>
      <c r="D344" s="9"/>
      <c r="E344" s="9"/>
    </row>
    <row r="345">
      <c r="A345" s="27"/>
      <c r="B345" s="28"/>
      <c r="C345" s="9"/>
      <c r="D345" s="9"/>
      <c r="E345" s="9"/>
    </row>
    <row r="346">
      <c r="A346" s="27"/>
      <c r="B346" s="28"/>
      <c r="C346" s="9"/>
      <c r="D346" s="9"/>
      <c r="E346" s="9"/>
    </row>
    <row r="347">
      <c r="A347" s="27"/>
      <c r="B347" s="28"/>
      <c r="C347" s="9"/>
      <c r="D347" s="9"/>
      <c r="E347" s="9"/>
    </row>
    <row r="348">
      <c r="A348" s="27"/>
      <c r="B348" s="28"/>
      <c r="C348" s="9"/>
      <c r="D348" s="9"/>
      <c r="E348" s="9"/>
    </row>
    <row r="349">
      <c r="A349" s="27"/>
      <c r="B349" s="28"/>
      <c r="C349" s="9"/>
      <c r="D349" s="9"/>
      <c r="E349" s="9"/>
    </row>
    <row r="350">
      <c r="A350" s="27"/>
      <c r="B350" s="28"/>
      <c r="C350" s="9"/>
      <c r="D350" s="9"/>
      <c r="E350" s="9"/>
    </row>
    <row r="351">
      <c r="A351" s="27"/>
      <c r="B351" s="28"/>
      <c r="C351" s="9"/>
      <c r="D351" s="9"/>
      <c r="E351" s="9"/>
    </row>
    <row r="352">
      <c r="A352" s="27"/>
      <c r="B352" s="28"/>
      <c r="C352" s="9"/>
      <c r="D352" s="9"/>
      <c r="E352" s="9"/>
    </row>
    <row r="353">
      <c r="A353" s="27"/>
      <c r="B353" s="28"/>
      <c r="C353" s="9"/>
      <c r="D353" s="9"/>
      <c r="E353" s="9"/>
    </row>
    <row r="354">
      <c r="A354" s="27"/>
      <c r="B354" s="28"/>
      <c r="C354" s="9"/>
      <c r="D354" s="9"/>
      <c r="E354" s="9"/>
    </row>
    <row r="355">
      <c r="A355" s="27"/>
      <c r="B355" s="28"/>
      <c r="C355" s="9"/>
      <c r="D355" s="9"/>
      <c r="E355" s="9"/>
    </row>
    <row r="356">
      <c r="A356" s="27"/>
      <c r="B356" s="28"/>
      <c r="C356" s="9"/>
      <c r="D356" s="9"/>
      <c r="E356" s="9"/>
    </row>
    <row r="357">
      <c r="A357" s="27"/>
      <c r="B357" s="28"/>
      <c r="C357" s="9"/>
      <c r="D357" s="9"/>
      <c r="E357" s="9"/>
    </row>
    <row r="358">
      <c r="A358" s="27"/>
      <c r="B358" s="28"/>
      <c r="C358" s="9"/>
      <c r="D358" s="9"/>
      <c r="E358" s="9"/>
    </row>
    <row r="359">
      <c r="A359" s="27"/>
      <c r="B359" s="28"/>
      <c r="C359" s="9"/>
      <c r="D359" s="9"/>
      <c r="E359" s="9"/>
    </row>
    <row r="360">
      <c r="A360" s="27"/>
      <c r="B360" s="28"/>
      <c r="C360" s="9"/>
      <c r="D360" s="9"/>
      <c r="E360" s="9"/>
    </row>
    <row r="361">
      <c r="A361" s="27"/>
      <c r="B361" s="28"/>
      <c r="C361" s="9"/>
      <c r="D361" s="9"/>
      <c r="E361" s="9"/>
    </row>
    <row r="362">
      <c r="A362" s="27"/>
      <c r="B362" s="28"/>
      <c r="C362" s="9"/>
      <c r="D362" s="9"/>
      <c r="E362" s="9"/>
    </row>
    <row r="363">
      <c r="A363" s="27"/>
      <c r="B363" s="28"/>
      <c r="C363" s="9"/>
      <c r="D363" s="9"/>
      <c r="E363" s="9"/>
    </row>
    <row r="364">
      <c r="A364" s="27"/>
      <c r="B364" s="28"/>
      <c r="C364" s="9"/>
      <c r="D364" s="9"/>
      <c r="E364" s="9"/>
    </row>
    <row r="365">
      <c r="A365" s="27"/>
      <c r="B365" s="28"/>
      <c r="C365" s="9"/>
      <c r="D365" s="9"/>
      <c r="E365" s="9"/>
    </row>
    <row r="366">
      <c r="A366" s="27"/>
      <c r="B366" s="28"/>
      <c r="C366" s="9"/>
      <c r="D366" s="9"/>
      <c r="E366" s="9"/>
    </row>
    <row r="367">
      <c r="A367" s="27"/>
      <c r="B367" s="28"/>
      <c r="C367" s="9"/>
      <c r="D367" s="9"/>
      <c r="E367" s="9"/>
    </row>
    <row r="368">
      <c r="A368" s="27"/>
      <c r="B368" s="28"/>
      <c r="C368" s="9"/>
      <c r="D368" s="9"/>
      <c r="E368" s="9"/>
    </row>
    <row r="369">
      <c r="A369" s="27"/>
      <c r="B369" s="28"/>
      <c r="C369" s="9"/>
      <c r="D369" s="9"/>
      <c r="E369" s="9"/>
    </row>
    <row r="370">
      <c r="A370" s="27"/>
      <c r="B370" s="28"/>
      <c r="C370" s="9"/>
      <c r="D370" s="9"/>
      <c r="E370" s="9"/>
    </row>
    <row r="371">
      <c r="A371" s="27"/>
      <c r="B371" s="28"/>
      <c r="C371" s="9"/>
      <c r="D371" s="9"/>
      <c r="E371" s="9"/>
    </row>
    <row r="372">
      <c r="A372" s="27"/>
      <c r="B372" s="28"/>
      <c r="C372" s="9"/>
      <c r="D372" s="9"/>
      <c r="E372" s="9"/>
    </row>
    <row r="373">
      <c r="A373" s="27"/>
      <c r="B373" s="28"/>
      <c r="C373" s="9"/>
      <c r="D373" s="9"/>
      <c r="E373" s="9"/>
    </row>
    <row r="374">
      <c r="A374" s="27"/>
      <c r="B374" s="28"/>
      <c r="C374" s="9"/>
      <c r="D374" s="9"/>
      <c r="E374" s="9"/>
    </row>
    <row r="375">
      <c r="A375" s="27"/>
      <c r="B375" s="28"/>
      <c r="C375" s="9"/>
      <c r="D375" s="9"/>
      <c r="E375" s="9"/>
    </row>
    <row r="376">
      <c r="A376" s="27"/>
      <c r="B376" s="28"/>
      <c r="C376" s="9"/>
      <c r="D376" s="9"/>
      <c r="E376" s="9"/>
    </row>
    <row r="377">
      <c r="A377" s="27"/>
      <c r="B377" s="28"/>
      <c r="C377" s="9"/>
      <c r="D377" s="9"/>
      <c r="E377" s="9"/>
    </row>
    <row r="378">
      <c r="A378" s="27"/>
      <c r="B378" s="28"/>
      <c r="C378" s="9"/>
      <c r="D378" s="9"/>
      <c r="E378" s="9"/>
    </row>
    <row r="379">
      <c r="A379" s="27"/>
      <c r="B379" s="28"/>
      <c r="C379" s="9"/>
      <c r="D379" s="9"/>
      <c r="E379" s="9"/>
    </row>
    <row r="380">
      <c r="A380" s="27"/>
      <c r="B380" s="28"/>
      <c r="C380" s="9"/>
      <c r="D380" s="9"/>
      <c r="E380" s="9"/>
    </row>
    <row r="381">
      <c r="A381" s="27"/>
      <c r="B381" s="28"/>
      <c r="C381" s="9"/>
      <c r="D381" s="9"/>
      <c r="E381" s="9"/>
    </row>
    <row r="382">
      <c r="A382" s="27"/>
      <c r="B382" s="28"/>
      <c r="C382" s="9"/>
      <c r="D382" s="9"/>
      <c r="E382" s="9"/>
    </row>
    <row r="383">
      <c r="A383" s="27"/>
      <c r="B383" s="28"/>
      <c r="C383" s="9"/>
      <c r="D383" s="9"/>
      <c r="E383" s="9"/>
    </row>
    <row r="384">
      <c r="A384" s="27"/>
      <c r="B384" s="28"/>
      <c r="C384" s="9"/>
      <c r="D384" s="9"/>
      <c r="E384" s="9"/>
    </row>
    <row r="385">
      <c r="A385" s="27"/>
      <c r="B385" s="28"/>
      <c r="C385" s="9"/>
      <c r="D385" s="9"/>
      <c r="E385" s="9"/>
    </row>
    <row r="386">
      <c r="A386" s="27"/>
      <c r="B386" s="28"/>
      <c r="C386" s="9"/>
      <c r="D386" s="9"/>
      <c r="E386" s="9"/>
    </row>
    <row r="387">
      <c r="A387" s="27"/>
      <c r="B387" s="28"/>
      <c r="C387" s="9"/>
      <c r="D387" s="9"/>
      <c r="E387" s="9"/>
    </row>
    <row r="388">
      <c r="A388" s="27"/>
      <c r="B388" s="28"/>
      <c r="C388" s="9"/>
      <c r="D388" s="9"/>
      <c r="E388" s="9"/>
    </row>
    <row r="389">
      <c r="A389" s="27"/>
      <c r="B389" s="28"/>
      <c r="C389" s="9"/>
      <c r="D389" s="9"/>
      <c r="E389" s="9"/>
    </row>
    <row r="390">
      <c r="A390" s="27"/>
      <c r="B390" s="28"/>
      <c r="C390" s="9"/>
      <c r="D390" s="9"/>
      <c r="E390" s="9"/>
    </row>
    <row r="391">
      <c r="A391" s="27"/>
      <c r="B391" s="28"/>
      <c r="C391" s="9"/>
      <c r="D391" s="9"/>
      <c r="E391" s="9"/>
    </row>
    <row r="392">
      <c r="A392" s="27"/>
      <c r="B392" s="28"/>
      <c r="C392" s="9"/>
      <c r="D392" s="9"/>
      <c r="E392" s="9"/>
    </row>
    <row r="393">
      <c r="A393" s="27"/>
      <c r="B393" s="28"/>
      <c r="C393" s="9"/>
      <c r="D393" s="9"/>
      <c r="E393" s="9"/>
    </row>
    <row r="394">
      <c r="A394" s="27"/>
      <c r="B394" s="28"/>
      <c r="C394" s="9"/>
      <c r="D394" s="9"/>
      <c r="E394" s="9"/>
    </row>
    <row r="395">
      <c r="A395" s="27"/>
      <c r="B395" s="28"/>
      <c r="C395" s="9"/>
      <c r="D395" s="9"/>
      <c r="E395" s="9"/>
    </row>
    <row r="396">
      <c r="A396" s="27"/>
      <c r="B396" s="28"/>
      <c r="C396" s="9"/>
      <c r="D396" s="9"/>
      <c r="E396" s="9"/>
    </row>
    <row r="397">
      <c r="A397" s="27"/>
      <c r="B397" s="28"/>
      <c r="C397" s="9"/>
      <c r="D397" s="9"/>
      <c r="E397" s="9"/>
    </row>
    <row r="398">
      <c r="A398" s="27"/>
      <c r="B398" s="28"/>
      <c r="C398" s="9"/>
      <c r="D398" s="9"/>
      <c r="E398" s="9"/>
    </row>
    <row r="399">
      <c r="A399" s="27"/>
      <c r="B399" s="28"/>
      <c r="C399" s="9"/>
      <c r="D399" s="9"/>
      <c r="E399" s="9"/>
    </row>
    <row r="400">
      <c r="A400" s="27"/>
      <c r="B400" s="28"/>
      <c r="C400" s="9"/>
      <c r="D400" s="9"/>
      <c r="E400" s="9"/>
    </row>
    <row r="401">
      <c r="A401" s="27"/>
      <c r="B401" s="28"/>
      <c r="C401" s="9"/>
      <c r="D401" s="9"/>
      <c r="E401" s="9"/>
    </row>
    <row r="402">
      <c r="A402" s="27"/>
      <c r="B402" s="28"/>
      <c r="C402" s="9"/>
      <c r="D402" s="9"/>
      <c r="E402" s="9"/>
    </row>
    <row r="403">
      <c r="A403" s="27"/>
      <c r="B403" s="28"/>
      <c r="C403" s="9"/>
      <c r="D403" s="9"/>
      <c r="E403" s="9"/>
    </row>
    <row r="404">
      <c r="A404" s="27"/>
      <c r="B404" s="28"/>
      <c r="C404" s="9"/>
      <c r="D404" s="9"/>
      <c r="E404" s="9"/>
    </row>
    <row r="405">
      <c r="A405" s="27"/>
      <c r="B405" s="28"/>
      <c r="C405" s="9"/>
      <c r="D405" s="9"/>
      <c r="E405" s="9"/>
    </row>
    <row r="406">
      <c r="A406" s="27"/>
      <c r="B406" s="28"/>
      <c r="C406" s="9"/>
      <c r="D406" s="9"/>
      <c r="E406" s="9"/>
    </row>
    <row r="407">
      <c r="A407" s="27"/>
      <c r="B407" s="28"/>
      <c r="C407" s="9"/>
      <c r="D407" s="9"/>
      <c r="E407" s="9"/>
    </row>
    <row r="408">
      <c r="A408" s="27"/>
      <c r="B408" s="28"/>
      <c r="C408" s="9"/>
      <c r="D408" s="9"/>
      <c r="E408" s="9"/>
    </row>
    <row r="409">
      <c r="A409" s="27"/>
      <c r="B409" s="28"/>
      <c r="C409" s="9"/>
      <c r="D409" s="9"/>
      <c r="E409" s="9"/>
    </row>
    <row r="410">
      <c r="A410" s="27"/>
      <c r="B410" s="28"/>
      <c r="C410" s="9"/>
      <c r="D410" s="9"/>
      <c r="E410" s="9"/>
    </row>
    <row r="411">
      <c r="A411" s="27"/>
      <c r="B411" s="28"/>
      <c r="C411" s="9"/>
      <c r="D411" s="9"/>
      <c r="E411" s="9"/>
    </row>
    <row r="412">
      <c r="A412" s="27"/>
      <c r="B412" s="28"/>
      <c r="C412" s="9"/>
      <c r="D412" s="9"/>
      <c r="E412" s="9"/>
    </row>
    <row r="413">
      <c r="A413" s="27"/>
      <c r="B413" s="28"/>
      <c r="C413" s="9"/>
      <c r="D413" s="9"/>
      <c r="E413" s="9"/>
    </row>
    <row r="414">
      <c r="A414" s="27"/>
      <c r="B414" s="28"/>
      <c r="C414" s="9"/>
      <c r="D414" s="9"/>
      <c r="E414" s="9"/>
    </row>
    <row r="415">
      <c r="A415" s="27"/>
      <c r="B415" s="28"/>
      <c r="C415" s="9"/>
      <c r="D415" s="9"/>
      <c r="E415" s="9"/>
    </row>
    <row r="416">
      <c r="A416" s="27"/>
      <c r="B416" s="28"/>
      <c r="C416" s="9"/>
      <c r="D416" s="9"/>
      <c r="E416" s="9"/>
    </row>
    <row r="417">
      <c r="A417" s="27"/>
      <c r="B417" s="28"/>
      <c r="C417" s="9"/>
      <c r="D417" s="9"/>
      <c r="E417" s="9"/>
    </row>
    <row r="418">
      <c r="A418" s="27"/>
      <c r="B418" s="28"/>
      <c r="C418" s="9"/>
      <c r="D418" s="9"/>
      <c r="E418" s="9"/>
    </row>
    <row r="419">
      <c r="A419" s="27"/>
      <c r="B419" s="28"/>
      <c r="C419" s="9"/>
      <c r="D419" s="9"/>
      <c r="E419" s="9"/>
    </row>
    <row r="420">
      <c r="A420" s="27"/>
      <c r="B420" s="28"/>
      <c r="C420" s="9"/>
      <c r="D420" s="9"/>
      <c r="E420" s="9"/>
    </row>
    <row r="421">
      <c r="A421" s="27"/>
      <c r="B421" s="28"/>
      <c r="C421" s="9"/>
      <c r="D421" s="9"/>
      <c r="E421" s="9"/>
    </row>
    <row r="422">
      <c r="A422" s="27"/>
      <c r="B422" s="28"/>
      <c r="C422" s="9"/>
      <c r="D422" s="9"/>
      <c r="E422" s="9"/>
    </row>
    <row r="423">
      <c r="A423" s="27"/>
      <c r="B423" s="28"/>
      <c r="C423" s="9"/>
      <c r="D423" s="9"/>
      <c r="E423" s="9"/>
    </row>
    <row r="424">
      <c r="A424" s="27"/>
      <c r="B424" s="28"/>
      <c r="C424" s="9"/>
      <c r="D424" s="9"/>
      <c r="E424" s="9"/>
    </row>
    <row r="425">
      <c r="A425" s="27"/>
      <c r="B425" s="28"/>
      <c r="C425" s="9"/>
      <c r="D425" s="9"/>
      <c r="E425" s="9"/>
    </row>
    <row r="426">
      <c r="A426" s="27"/>
      <c r="B426" s="28"/>
      <c r="C426" s="9"/>
      <c r="D426" s="9"/>
      <c r="E426" s="9"/>
    </row>
    <row r="427">
      <c r="A427" s="27"/>
      <c r="B427" s="28"/>
      <c r="C427" s="9"/>
      <c r="D427" s="9"/>
      <c r="E427" s="9"/>
    </row>
    <row r="428">
      <c r="A428" s="27"/>
      <c r="B428" s="28"/>
      <c r="C428" s="9"/>
      <c r="D428" s="9"/>
      <c r="E428" s="9"/>
    </row>
    <row r="429">
      <c r="A429" s="27"/>
      <c r="B429" s="28"/>
      <c r="C429" s="9"/>
      <c r="D429" s="9"/>
      <c r="E429" s="9"/>
    </row>
    <row r="430">
      <c r="A430" s="27"/>
      <c r="B430" s="28"/>
      <c r="C430" s="9"/>
      <c r="D430" s="9"/>
      <c r="E430" s="9"/>
    </row>
    <row r="431">
      <c r="A431" s="27"/>
      <c r="B431" s="28"/>
      <c r="C431" s="9"/>
      <c r="D431" s="9"/>
      <c r="E431" s="9"/>
    </row>
    <row r="432">
      <c r="A432" s="27"/>
      <c r="B432" s="28"/>
      <c r="C432" s="9"/>
      <c r="D432" s="9"/>
      <c r="E432" s="9"/>
    </row>
    <row r="433">
      <c r="A433" s="27"/>
      <c r="B433" s="28"/>
      <c r="C433" s="9"/>
      <c r="D433" s="9"/>
      <c r="E433" s="9"/>
    </row>
    <row r="434">
      <c r="A434" s="27"/>
      <c r="B434" s="28"/>
      <c r="C434" s="9"/>
      <c r="D434" s="9"/>
      <c r="E434" s="9"/>
    </row>
    <row r="435">
      <c r="A435" s="27"/>
      <c r="B435" s="28"/>
      <c r="C435" s="9"/>
      <c r="D435" s="9"/>
      <c r="E435" s="9"/>
    </row>
    <row r="436">
      <c r="A436" s="27"/>
      <c r="B436" s="28"/>
      <c r="C436" s="9"/>
      <c r="D436" s="9"/>
      <c r="E436" s="9"/>
    </row>
    <row r="437">
      <c r="A437" s="27"/>
      <c r="B437" s="28"/>
      <c r="C437" s="9"/>
      <c r="D437" s="9"/>
      <c r="E437" s="9"/>
    </row>
    <row r="438">
      <c r="A438" s="27"/>
      <c r="B438" s="28"/>
      <c r="C438" s="9"/>
      <c r="D438" s="9"/>
      <c r="E438" s="9"/>
    </row>
    <row r="439">
      <c r="A439" s="27"/>
      <c r="B439" s="28"/>
      <c r="C439" s="9"/>
      <c r="D439" s="9"/>
      <c r="E439" s="9"/>
    </row>
    <row r="440">
      <c r="A440" s="27"/>
      <c r="B440" s="28"/>
      <c r="C440" s="9"/>
      <c r="D440" s="9"/>
      <c r="E440" s="9"/>
    </row>
    <row r="441">
      <c r="A441" s="27"/>
      <c r="B441" s="28"/>
      <c r="C441" s="9"/>
      <c r="D441" s="9"/>
      <c r="E441" s="9"/>
    </row>
    <row r="442">
      <c r="A442" s="27"/>
      <c r="B442" s="28"/>
      <c r="C442" s="9"/>
      <c r="D442" s="9"/>
      <c r="E442" s="9"/>
    </row>
    <row r="443">
      <c r="A443" s="27"/>
      <c r="B443" s="28"/>
      <c r="C443" s="9"/>
      <c r="D443" s="9"/>
      <c r="E443" s="9"/>
    </row>
    <row r="444">
      <c r="A444" s="27"/>
      <c r="B444" s="28"/>
      <c r="C444" s="9"/>
      <c r="D444" s="9"/>
      <c r="E444" s="9"/>
    </row>
    <row r="445">
      <c r="A445" s="27"/>
      <c r="B445" s="28"/>
      <c r="C445" s="9"/>
      <c r="D445" s="9"/>
      <c r="E445" s="9"/>
    </row>
    <row r="446">
      <c r="A446" s="27"/>
      <c r="B446" s="28"/>
      <c r="C446" s="9"/>
      <c r="D446" s="9"/>
      <c r="E446" s="9"/>
    </row>
    <row r="447">
      <c r="A447" s="27"/>
      <c r="B447" s="28"/>
      <c r="C447" s="9"/>
      <c r="D447" s="9"/>
      <c r="E447" s="9"/>
    </row>
    <row r="448">
      <c r="A448" s="27"/>
      <c r="B448" s="28"/>
      <c r="C448" s="9"/>
      <c r="D448" s="9"/>
      <c r="E448" s="9"/>
    </row>
    <row r="449">
      <c r="A449" s="27"/>
      <c r="B449" s="28"/>
      <c r="C449" s="9"/>
      <c r="D449" s="9"/>
      <c r="E449" s="9"/>
    </row>
    <row r="450">
      <c r="A450" s="27"/>
      <c r="B450" s="28"/>
      <c r="C450" s="9"/>
      <c r="D450" s="9"/>
      <c r="E450" s="9"/>
    </row>
    <row r="451">
      <c r="A451" s="27"/>
      <c r="B451" s="28"/>
      <c r="C451" s="9"/>
      <c r="D451" s="9"/>
      <c r="E451" s="9"/>
    </row>
    <row r="452">
      <c r="A452" s="27"/>
      <c r="B452" s="28"/>
      <c r="C452" s="9"/>
      <c r="D452" s="9"/>
      <c r="E452" s="9"/>
    </row>
    <row r="453">
      <c r="A453" s="27"/>
      <c r="B453" s="28"/>
      <c r="C453" s="9"/>
      <c r="D453" s="9"/>
      <c r="E453" s="9"/>
    </row>
    <row r="454">
      <c r="A454" s="27"/>
      <c r="B454" s="28"/>
      <c r="C454" s="9"/>
      <c r="D454" s="9"/>
      <c r="E454" s="9"/>
    </row>
    <row r="455">
      <c r="A455" s="27"/>
      <c r="B455" s="28"/>
      <c r="C455" s="9"/>
      <c r="D455" s="9"/>
      <c r="E455" s="9"/>
    </row>
    <row r="456">
      <c r="A456" s="27"/>
      <c r="B456" s="28"/>
      <c r="C456" s="9"/>
      <c r="D456" s="9"/>
      <c r="E456" s="9"/>
    </row>
    <row r="457">
      <c r="A457" s="27"/>
      <c r="B457" s="28"/>
      <c r="C457" s="9"/>
      <c r="D457" s="9"/>
      <c r="E457" s="9"/>
    </row>
    <row r="458">
      <c r="A458" s="27"/>
      <c r="B458" s="28"/>
      <c r="C458" s="9"/>
      <c r="D458" s="9"/>
      <c r="E458" s="9"/>
    </row>
    <row r="459">
      <c r="A459" s="27"/>
      <c r="B459" s="28"/>
      <c r="C459" s="9"/>
      <c r="D459" s="9"/>
      <c r="E459" s="9"/>
    </row>
    <row r="460">
      <c r="A460" s="27"/>
      <c r="B460" s="28"/>
      <c r="C460" s="9"/>
      <c r="D460" s="9"/>
      <c r="E460" s="9"/>
    </row>
    <row r="461">
      <c r="A461" s="27"/>
      <c r="B461" s="28"/>
      <c r="C461" s="9"/>
      <c r="D461" s="9"/>
      <c r="E461" s="9"/>
    </row>
    <row r="462">
      <c r="A462" s="27"/>
      <c r="B462" s="28"/>
      <c r="C462" s="9"/>
      <c r="D462" s="9"/>
      <c r="E462" s="9"/>
    </row>
    <row r="463">
      <c r="A463" s="27"/>
      <c r="B463" s="28"/>
      <c r="C463" s="9"/>
      <c r="D463" s="9"/>
      <c r="E463" s="9"/>
    </row>
    <row r="464">
      <c r="A464" s="27"/>
      <c r="B464" s="28"/>
      <c r="C464" s="9"/>
      <c r="D464" s="9"/>
      <c r="E464" s="9"/>
    </row>
    <row r="465">
      <c r="A465" s="27"/>
      <c r="B465" s="28"/>
      <c r="C465" s="9"/>
      <c r="D465" s="9"/>
      <c r="E465" s="9"/>
    </row>
    <row r="466">
      <c r="A466" s="27"/>
      <c r="B466" s="28"/>
      <c r="C466" s="9"/>
      <c r="D466" s="9"/>
      <c r="E466" s="9"/>
    </row>
    <row r="467">
      <c r="A467" s="27"/>
      <c r="B467" s="28"/>
      <c r="C467" s="9"/>
      <c r="D467" s="9"/>
      <c r="E467" s="9"/>
    </row>
    <row r="468">
      <c r="A468" s="27"/>
      <c r="B468" s="28"/>
      <c r="C468" s="9"/>
      <c r="D468" s="9"/>
      <c r="E468" s="9"/>
    </row>
    <row r="469">
      <c r="A469" s="27"/>
      <c r="B469" s="28"/>
      <c r="C469" s="9"/>
      <c r="D469" s="9"/>
      <c r="E469" s="9"/>
    </row>
    <row r="470">
      <c r="A470" s="27"/>
      <c r="B470" s="28"/>
      <c r="C470" s="9"/>
      <c r="D470" s="9"/>
      <c r="E470" s="9"/>
    </row>
    <row r="471">
      <c r="A471" s="27"/>
      <c r="B471" s="28"/>
      <c r="C471" s="9"/>
      <c r="D471" s="9"/>
      <c r="E471" s="9"/>
    </row>
    <row r="472">
      <c r="A472" s="27"/>
      <c r="B472" s="28"/>
      <c r="C472" s="9"/>
      <c r="D472" s="9"/>
      <c r="E472" s="9"/>
    </row>
    <row r="473">
      <c r="A473" s="27"/>
      <c r="B473" s="28"/>
      <c r="C473" s="9"/>
      <c r="D473" s="9"/>
      <c r="E473" s="9"/>
    </row>
    <row r="474">
      <c r="A474" s="27"/>
      <c r="B474" s="28"/>
      <c r="C474" s="9"/>
      <c r="D474" s="9"/>
      <c r="E474" s="9"/>
    </row>
    <row r="475">
      <c r="A475" s="27"/>
      <c r="B475" s="28"/>
      <c r="C475" s="9"/>
      <c r="D475" s="9"/>
      <c r="E475" s="9"/>
    </row>
    <row r="476">
      <c r="A476" s="27"/>
      <c r="B476" s="28"/>
      <c r="C476" s="9"/>
      <c r="D476" s="9"/>
      <c r="E476" s="9"/>
    </row>
    <row r="477">
      <c r="A477" s="27"/>
      <c r="B477" s="28"/>
      <c r="C477" s="9"/>
      <c r="D477" s="9"/>
      <c r="E477" s="9"/>
    </row>
    <row r="478">
      <c r="A478" s="27"/>
      <c r="B478" s="28"/>
      <c r="C478" s="9"/>
      <c r="D478" s="9"/>
      <c r="E478" s="9"/>
    </row>
    <row r="479">
      <c r="A479" s="27"/>
      <c r="B479" s="28"/>
      <c r="C479" s="9"/>
      <c r="D479" s="9"/>
      <c r="E479" s="9"/>
    </row>
    <row r="480">
      <c r="A480" s="27"/>
      <c r="B480" s="28"/>
      <c r="C480" s="9"/>
      <c r="D480" s="9"/>
      <c r="E480" s="9"/>
    </row>
    <row r="481">
      <c r="A481" s="27"/>
      <c r="B481" s="28"/>
      <c r="C481" s="9"/>
      <c r="D481" s="9"/>
      <c r="E481" s="9"/>
    </row>
    <row r="482">
      <c r="A482" s="27"/>
      <c r="B482" s="28"/>
      <c r="C482" s="9"/>
      <c r="D482" s="9"/>
      <c r="E482" s="9"/>
    </row>
    <row r="483">
      <c r="A483" s="27"/>
      <c r="B483" s="28"/>
      <c r="C483" s="9"/>
      <c r="D483" s="9"/>
      <c r="E483" s="9"/>
    </row>
    <row r="484">
      <c r="A484" s="27"/>
      <c r="B484" s="28"/>
      <c r="C484" s="9"/>
      <c r="D484" s="9"/>
      <c r="E484" s="9"/>
    </row>
    <row r="485">
      <c r="A485" s="27"/>
      <c r="B485" s="28"/>
      <c r="C485" s="9"/>
      <c r="D485" s="9"/>
      <c r="E485" s="9"/>
    </row>
    <row r="486">
      <c r="A486" s="27"/>
      <c r="B486" s="28"/>
      <c r="C486" s="9"/>
      <c r="D486" s="9"/>
      <c r="E486" s="9"/>
    </row>
    <row r="487">
      <c r="A487" s="27"/>
      <c r="B487" s="28"/>
      <c r="C487" s="9"/>
      <c r="D487" s="9"/>
      <c r="E487" s="9"/>
    </row>
    <row r="488">
      <c r="A488" s="27"/>
      <c r="B488" s="28"/>
      <c r="C488" s="9"/>
      <c r="D488" s="9"/>
      <c r="E488" s="9"/>
    </row>
    <row r="489">
      <c r="A489" s="27"/>
      <c r="B489" s="28"/>
      <c r="C489" s="9"/>
      <c r="D489" s="9"/>
      <c r="E489" s="9"/>
    </row>
    <row r="490">
      <c r="A490" s="27"/>
      <c r="B490" s="28"/>
      <c r="C490" s="9"/>
      <c r="D490" s="9"/>
      <c r="E490" s="9"/>
    </row>
    <row r="491">
      <c r="A491" s="27"/>
      <c r="B491" s="28"/>
      <c r="C491" s="9"/>
      <c r="D491" s="9"/>
      <c r="E491" s="9"/>
    </row>
    <row r="492">
      <c r="A492" s="27"/>
      <c r="B492" s="28"/>
      <c r="C492" s="9"/>
      <c r="D492" s="9"/>
      <c r="E492" s="9"/>
    </row>
    <row r="493">
      <c r="A493" s="27"/>
      <c r="B493" s="28"/>
      <c r="C493" s="9"/>
      <c r="D493" s="9"/>
      <c r="E493" s="9"/>
    </row>
    <row r="494">
      <c r="A494" s="27"/>
      <c r="B494" s="28"/>
      <c r="C494" s="9"/>
      <c r="D494" s="9"/>
      <c r="E494" s="9"/>
    </row>
    <row r="495">
      <c r="A495" s="27"/>
      <c r="B495" s="28"/>
      <c r="C495" s="9"/>
      <c r="D495" s="9"/>
      <c r="E495" s="9"/>
    </row>
    <row r="496">
      <c r="A496" s="27"/>
      <c r="B496" s="28"/>
      <c r="C496" s="9"/>
      <c r="D496" s="9"/>
      <c r="E496" s="9"/>
    </row>
    <row r="497">
      <c r="A497" s="27"/>
      <c r="B497" s="28"/>
      <c r="C497" s="9"/>
      <c r="D497" s="9"/>
      <c r="E497" s="9"/>
    </row>
    <row r="498">
      <c r="A498" s="27"/>
      <c r="B498" s="28"/>
      <c r="C498" s="9"/>
      <c r="D498" s="9"/>
      <c r="E498" s="9"/>
    </row>
    <row r="499">
      <c r="A499" s="27"/>
      <c r="B499" s="28"/>
      <c r="C499" s="9"/>
      <c r="D499" s="9"/>
      <c r="E499" s="9"/>
    </row>
    <row r="500">
      <c r="A500" s="27"/>
      <c r="B500" s="28"/>
      <c r="C500" s="9"/>
      <c r="D500" s="9"/>
      <c r="E500" s="9"/>
    </row>
    <row r="501">
      <c r="A501" s="27"/>
      <c r="B501" s="28"/>
      <c r="C501" s="9"/>
      <c r="D501" s="9"/>
      <c r="E501" s="9"/>
    </row>
    <row r="502">
      <c r="A502" s="27"/>
      <c r="B502" s="28"/>
      <c r="C502" s="9"/>
      <c r="D502" s="9"/>
      <c r="E502" s="9"/>
    </row>
    <row r="503">
      <c r="A503" s="27"/>
      <c r="B503" s="28"/>
      <c r="C503" s="9"/>
      <c r="D503" s="9"/>
      <c r="E503" s="9"/>
    </row>
    <row r="504">
      <c r="A504" s="27"/>
      <c r="B504" s="28"/>
      <c r="C504" s="9"/>
      <c r="D504" s="9"/>
      <c r="E504" s="9"/>
    </row>
    <row r="505">
      <c r="A505" s="27"/>
      <c r="B505" s="28"/>
      <c r="C505" s="9"/>
      <c r="D505" s="9"/>
      <c r="E505" s="9"/>
    </row>
    <row r="506">
      <c r="A506" s="27"/>
      <c r="B506" s="28"/>
      <c r="C506" s="9"/>
      <c r="D506" s="9"/>
      <c r="E506" s="9"/>
    </row>
    <row r="507">
      <c r="A507" s="27"/>
      <c r="B507" s="28"/>
      <c r="C507" s="9"/>
      <c r="D507" s="9"/>
      <c r="E507" s="9"/>
    </row>
    <row r="508">
      <c r="A508" s="27"/>
      <c r="B508" s="28"/>
      <c r="C508" s="9"/>
      <c r="D508" s="9"/>
      <c r="E508" s="9"/>
    </row>
    <row r="509">
      <c r="A509" s="27"/>
      <c r="B509" s="28"/>
      <c r="C509" s="9"/>
      <c r="D509" s="9"/>
      <c r="E509" s="9"/>
    </row>
    <row r="510">
      <c r="A510" s="27"/>
      <c r="B510" s="28"/>
      <c r="C510" s="9"/>
      <c r="D510" s="9"/>
      <c r="E510" s="9"/>
    </row>
    <row r="511">
      <c r="A511" s="27"/>
      <c r="B511" s="28"/>
      <c r="C511" s="9"/>
      <c r="D511" s="9"/>
      <c r="E511" s="9"/>
    </row>
    <row r="512">
      <c r="A512" s="27"/>
      <c r="B512" s="28"/>
      <c r="C512" s="9"/>
      <c r="D512" s="9"/>
      <c r="E512" s="9"/>
    </row>
    <row r="513">
      <c r="A513" s="27"/>
      <c r="B513" s="28"/>
      <c r="C513" s="9"/>
      <c r="D513" s="9"/>
      <c r="E513" s="9"/>
    </row>
    <row r="514">
      <c r="A514" s="27"/>
      <c r="B514" s="28"/>
      <c r="C514" s="9"/>
      <c r="D514" s="9"/>
      <c r="E514" s="9"/>
    </row>
    <row r="515">
      <c r="A515" s="27"/>
      <c r="B515" s="28"/>
      <c r="C515" s="9"/>
      <c r="D515" s="9"/>
      <c r="E515" s="9"/>
    </row>
    <row r="516">
      <c r="A516" s="27"/>
      <c r="B516" s="28"/>
      <c r="C516" s="9"/>
      <c r="D516" s="9"/>
      <c r="E516" s="9"/>
    </row>
    <row r="517">
      <c r="A517" s="27"/>
      <c r="B517" s="28"/>
      <c r="C517" s="9"/>
      <c r="D517" s="9"/>
      <c r="E517" s="9"/>
    </row>
    <row r="518">
      <c r="A518" s="27"/>
      <c r="B518" s="28"/>
      <c r="C518" s="9"/>
      <c r="D518" s="9"/>
      <c r="E518" s="9"/>
    </row>
    <row r="519">
      <c r="A519" s="27"/>
      <c r="B519" s="28"/>
      <c r="C519" s="9"/>
      <c r="D519" s="9"/>
      <c r="E519" s="9"/>
    </row>
    <row r="520">
      <c r="A520" s="27"/>
      <c r="B520" s="28"/>
      <c r="C520" s="9"/>
      <c r="D520" s="9"/>
      <c r="E520" s="9"/>
    </row>
    <row r="521">
      <c r="A521" s="27"/>
      <c r="B521" s="28"/>
      <c r="C521" s="9"/>
      <c r="D521" s="9"/>
      <c r="E521" s="9"/>
    </row>
    <row r="522">
      <c r="A522" s="27"/>
      <c r="B522" s="28"/>
      <c r="C522" s="9"/>
      <c r="D522" s="9"/>
      <c r="E522" s="9"/>
    </row>
    <row r="523">
      <c r="A523" s="27"/>
      <c r="B523" s="28"/>
      <c r="C523" s="9"/>
      <c r="D523" s="9"/>
      <c r="E523" s="9"/>
    </row>
    <row r="524">
      <c r="A524" s="27"/>
      <c r="B524" s="28"/>
      <c r="C524" s="9"/>
      <c r="D524" s="9"/>
      <c r="E524" s="9"/>
    </row>
    <row r="525">
      <c r="A525" s="27"/>
      <c r="B525" s="28"/>
      <c r="C525" s="9"/>
      <c r="D525" s="9"/>
      <c r="E525" s="9"/>
    </row>
    <row r="526">
      <c r="A526" s="27"/>
      <c r="B526" s="28"/>
      <c r="C526" s="9"/>
      <c r="D526" s="9"/>
      <c r="E526" s="9"/>
    </row>
    <row r="527">
      <c r="A527" s="27"/>
      <c r="B527" s="28"/>
      <c r="C527" s="9"/>
      <c r="D527" s="9"/>
      <c r="E527" s="9"/>
    </row>
    <row r="528">
      <c r="A528" s="27"/>
      <c r="B528" s="28"/>
      <c r="C528" s="9"/>
      <c r="D528" s="9"/>
      <c r="E528" s="9"/>
    </row>
    <row r="529">
      <c r="A529" s="27"/>
      <c r="B529" s="28"/>
      <c r="C529" s="9"/>
      <c r="D529" s="9"/>
      <c r="E529" s="9"/>
    </row>
    <row r="530">
      <c r="A530" s="27"/>
      <c r="B530" s="28"/>
      <c r="C530" s="9"/>
      <c r="D530" s="9"/>
      <c r="E530" s="9"/>
    </row>
    <row r="531">
      <c r="A531" s="27"/>
      <c r="B531" s="28"/>
      <c r="C531" s="9"/>
      <c r="D531" s="9"/>
      <c r="E531" s="9"/>
    </row>
    <row r="532">
      <c r="A532" s="27"/>
      <c r="B532" s="28"/>
      <c r="C532" s="9"/>
      <c r="D532" s="9"/>
      <c r="E532" s="9"/>
    </row>
    <row r="533">
      <c r="A533" s="27"/>
      <c r="B533" s="28"/>
      <c r="C533" s="9"/>
      <c r="D533" s="9"/>
      <c r="E533" s="9"/>
    </row>
    <row r="534">
      <c r="A534" s="27"/>
      <c r="B534" s="28"/>
      <c r="C534" s="9"/>
      <c r="D534" s="9"/>
      <c r="E534" s="9"/>
    </row>
    <row r="535">
      <c r="A535" s="27"/>
      <c r="B535" s="28"/>
      <c r="C535" s="9"/>
      <c r="D535" s="9"/>
      <c r="E535" s="9"/>
    </row>
    <row r="536">
      <c r="A536" s="27"/>
      <c r="B536" s="28"/>
      <c r="C536" s="9"/>
      <c r="D536" s="9"/>
      <c r="E536" s="9"/>
    </row>
    <row r="537">
      <c r="A537" s="27"/>
      <c r="B537" s="28"/>
      <c r="C537" s="9"/>
      <c r="D537" s="9"/>
      <c r="E537" s="9"/>
    </row>
    <row r="538">
      <c r="A538" s="27"/>
      <c r="B538" s="28"/>
      <c r="C538" s="9"/>
      <c r="D538" s="9"/>
      <c r="E538" s="9"/>
    </row>
    <row r="539">
      <c r="A539" s="27"/>
      <c r="B539" s="28"/>
      <c r="C539" s="9"/>
      <c r="D539" s="9"/>
      <c r="E539" s="9"/>
    </row>
    <row r="540">
      <c r="A540" s="27"/>
      <c r="B540" s="28"/>
      <c r="C540" s="9"/>
      <c r="D540" s="9"/>
      <c r="E540" s="9"/>
    </row>
    <row r="541">
      <c r="A541" s="27"/>
      <c r="B541" s="28"/>
      <c r="C541" s="9"/>
      <c r="D541" s="9"/>
      <c r="E541" s="9"/>
    </row>
    <row r="542">
      <c r="A542" s="27"/>
      <c r="B542" s="28"/>
      <c r="C542" s="9"/>
      <c r="D542" s="9"/>
      <c r="E542" s="9"/>
    </row>
    <row r="543">
      <c r="A543" s="27"/>
      <c r="B543" s="28"/>
      <c r="C543" s="9"/>
      <c r="D543" s="9"/>
      <c r="E543" s="9"/>
    </row>
    <row r="544">
      <c r="A544" s="27"/>
      <c r="B544" s="28"/>
      <c r="C544" s="9"/>
      <c r="D544" s="9"/>
      <c r="E544" s="9"/>
    </row>
    <row r="545">
      <c r="A545" s="27"/>
      <c r="B545" s="28"/>
      <c r="C545" s="9"/>
      <c r="D545" s="9"/>
      <c r="E545" s="9"/>
    </row>
    <row r="546">
      <c r="A546" s="27"/>
      <c r="B546" s="28"/>
      <c r="C546" s="9"/>
      <c r="D546" s="9"/>
      <c r="E546" s="9"/>
    </row>
    <row r="547">
      <c r="A547" s="27"/>
      <c r="B547" s="28"/>
      <c r="C547" s="9"/>
      <c r="D547" s="9"/>
      <c r="E547" s="9"/>
    </row>
    <row r="548">
      <c r="A548" s="27"/>
      <c r="B548" s="28"/>
      <c r="C548" s="9"/>
      <c r="D548" s="9"/>
      <c r="E548" s="9"/>
    </row>
    <row r="549">
      <c r="A549" s="27"/>
      <c r="B549" s="28"/>
      <c r="C549" s="9"/>
      <c r="D549" s="9"/>
      <c r="E549" s="9"/>
    </row>
    <row r="550">
      <c r="A550" s="27"/>
      <c r="B550" s="28"/>
      <c r="C550" s="9"/>
      <c r="D550" s="9"/>
      <c r="E550" s="9"/>
    </row>
    <row r="551">
      <c r="A551" s="27"/>
      <c r="B551" s="28"/>
      <c r="C551" s="9"/>
      <c r="D551" s="9"/>
      <c r="E551" s="9"/>
    </row>
    <row r="552">
      <c r="A552" s="27"/>
      <c r="B552" s="28"/>
      <c r="C552" s="9"/>
      <c r="D552" s="9"/>
      <c r="E552" s="9"/>
    </row>
    <row r="553">
      <c r="A553" s="27"/>
      <c r="B553" s="28"/>
      <c r="C553" s="9"/>
      <c r="D553" s="9"/>
      <c r="E553" s="9"/>
    </row>
    <row r="554">
      <c r="A554" s="27"/>
      <c r="B554" s="28"/>
      <c r="C554" s="9"/>
      <c r="D554" s="9"/>
      <c r="E554" s="9"/>
    </row>
    <row r="555">
      <c r="A555" s="27"/>
      <c r="B555" s="28"/>
      <c r="C555" s="9"/>
      <c r="D555" s="9"/>
      <c r="E555" s="9"/>
    </row>
    <row r="556">
      <c r="A556" s="27"/>
      <c r="B556" s="28"/>
      <c r="C556" s="9"/>
      <c r="D556" s="9"/>
      <c r="E556" s="9"/>
    </row>
    <row r="557">
      <c r="A557" s="27"/>
      <c r="B557" s="28"/>
      <c r="C557" s="9"/>
      <c r="D557" s="9"/>
      <c r="E557" s="9"/>
    </row>
    <row r="558">
      <c r="A558" s="27"/>
      <c r="B558" s="28"/>
      <c r="C558" s="9"/>
      <c r="D558" s="9"/>
      <c r="E558" s="9"/>
    </row>
    <row r="559">
      <c r="A559" s="27"/>
      <c r="B559" s="28"/>
      <c r="C559" s="9"/>
      <c r="D559" s="9"/>
      <c r="E559" s="9"/>
    </row>
    <row r="560">
      <c r="A560" s="27"/>
      <c r="B560" s="28"/>
      <c r="C560" s="9"/>
      <c r="D560" s="9"/>
      <c r="E560" s="9"/>
    </row>
    <row r="561">
      <c r="A561" s="27"/>
      <c r="B561" s="28"/>
      <c r="C561" s="9"/>
      <c r="D561" s="9"/>
      <c r="E561" s="9"/>
    </row>
    <row r="562">
      <c r="A562" s="27"/>
      <c r="B562" s="28"/>
      <c r="C562" s="9"/>
      <c r="D562" s="9"/>
      <c r="E562" s="9"/>
    </row>
    <row r="563">
      <c r="A563" s="27"/>
      <c r="B563" s="28"/>
      <c r="C563" s="9"/>
      <c r="D563" s="9"/>
      <c r="E563" s="9"/>
    </row>
    <row r="564">
      <c r="A564" s="27"/>
      <c r="B564" s="28"/>
      <c r="C564" s="9"/>
      <c r="D564" s="9"/>
      <c r="E564" s="9"/>
    </row>
    <row r="565">
      <c r="A565" s="27"/>
      <c r="B565" s="28"/>
      <c r="C565" s="9"/>
      <c r="D565" s="9"/>
      <c r="E565" s="9"/>
    </row>
    <row r="566">
      <c r="A566" s="27"/>
      <c r="B566" s="28"/>
      <c r="C566" s="9"/>
      <c r="D566" s="9"/>
      <c r="E566" s="9"/>
    </row>
    <row r="567">
      <c r="A567" s="27"/>
      <c r="B567" s="28"/>
      <c r="C567" s="9"/>
      <c r="D567" s="9"/>
      <c r="E567" s="9"/>
    </row>
    <row r="568">
      <c r="A568" s="27"/>
      <c r="B568" s="28"/>
      <c r="C568" s="9"/>
      <c r="D568" s="9"/>
      <c r="E568" s="9"/>
    </row>
    <row r="569">
      <c r="A569" s="27"/>
      <c r="B569" s="28"/>
      <c r="C569" s="9"/>
      <c r="D569" s="9"/>
      <c r="E569" s="9"/>
    </row>
    <row r="570">
      <c r="A570" s="27"/>
      <c r="B570" s="28"/>
      <c r="C570" s="9"/>
      <c r="D570" s="9"/>
      <c r="E570" s="9"/>
    </row>
    <row r="571">
      <c r="A571" s="27"/>
      <c r="B571" s="28"/>
      <c r="C571" s="9"/>
      <c r="D571" s="9"/>
      <c r="E571" s="9"/>
    </row>
    <row r="572">
      <c r="A572" s="27"/>
      <c r="B572" s="28"/>
      <c r="C572" s="9"/>
      <c r="D572" s="9"/>
      <c r="E572" s="9"/>
    </row>
    <row r="573">
      <c r="A573" s="27"/>
      <c r="B573" s="28"/>
      <c r="C573" s="9"/>
      <c r="D573" s="9"/>
      <c r="E573" s="9"/>
    </row>
    <row r="574">
      <c r="A574" s="27"/>
      <c r="B574" s="28"/>
      <c r="C574" s="9"/>
      <c r="D574" s="9"/>
      <c r="E574" s="9"/>
    </row>
    <row r="575">
      <c r="A575" s="27"/>
      <c r="B575" s="28"/>
      <c r="C575" s="9"/>
      <c r="D575" s="9"/>
      <c r="E575" s="9"/>
    </row>
    <row r="576">
      <c r="A576" s="27"/>
      <c r="B576" s="28"/>
      <c r="C576" s="9"/>
      <c r="D576" s="9"/>
      <c r="E576" s="9"/>
    </row>
    <row r="577">
      <c r="A577" s="27"/>
      <c r="B577" s="28"/>
      <c r="C577" s="9"/>
      <c r="D577" s="9"/>
      <c r="E577" s="9"/>
    </row>
    <row r="578">
      <c r="A578" s="27"/>
      <c r="B578" s="28"/>
      <c r="C578" s="9"/>
      <c r="D578" s="9"/>
      <c r="E578" s="9"/>
    </row>
    <row r="579">
      <c r="A579" s="27"/>
      <c r="B579" s="28"/>
      <c r="C579" s="9"/>
      <c r="D579" s="9"/>
      <c r="E579" s="9"/>
    </row>
    <row r="580">
      <c r="A580" s="27"/>
      <c r="B580" s="28"/>
      <c r="C580" s="9"/>
      <c r="D580" s="9"/>
      <c r="E580" s="9"/>
    </row>
    <row r="581">
      <c r="A581" s="27"/>
      <c r="B581" s="28"/>
      <c r="C581" s="9"/>
      <c r="D581" s="9"/>
      <c r="E581" s="9"/>
    </row>
    <row r="582">
      <c r="A582" s="27"/>
      <c r="B582" s="28"/>
      <c r="C582" s="9"/>
      <c r="D582" s="9"/>
      <c r="E582" s="9"/>
    </row>
    <row r="583">
      <c r="A583" s="27"/>
      <c r="B583" s="28"/>
      <c r="C583" s="9"/>
      <c r="D583" s="9"/>
      <c r="E583" s="9"/>
    </row>
    <row r="584">
      <c r="A584" s="27"/>
      <c r="B584" s="28"/>
      <c r="C584" s="9"/>
      <c r="D584" s="9"/>
      <c r="E584" s="9"/>
    </row>
    <row r="585">
      <c r="A585" s="27"/>
      <c r="B585" s="28"/>
      <c r="C585" s="9"/>
      <c r="D585" s="9"/>
      <c r="E585" s="9"/>
    </row>
    <row r="586">
      <c r="A586" s="27"/>
      <c r="B586" s="28"/>
      <c r="C586" s="9"/>
      <c r="D586" s="9"/>
      <c r="E586" s="9"/>
    </row>
    <row r="587">
      <c r="A587" s="27"/>
      <c r="B587" s="28"/>
      <c r="C587" s="9"/>
      <c r="D587" s="9"/>
      <c r="E587" s="9"/>
    </row>
    <row r="588">
      <c r="A588" s="27"/>
      <c r="B588" s="28"/>
      <c r="C588" s="9"/>
      <c r="D588" s="9"/>
      <c r="E588" s="9"/>
    </row>
    <row r="589">
      <c r="A589" s="27"/>
      <c r="B589" s="28"/>
      <c r="C589" s="9"/>
      <c r="D589" s="9"/>
      <c r="E589" s="9"/>
    </row>
    <row r="590">
      <c r="A590" s="27"/>
      <c r="B590" s="28"/>
      <c r="C590" s="9"/>
      <c r="D590" s="9"/>
      <c r="E590" s="9"/>
    </row>
    <row r="591">
      <c r="A591" s="27"/>
      <c r="B591" s="28"/>
      <c r="C591" s="9"/>
      <c r="D591" s="9"/>
      <c r="E591" s="9"/>
    </row>
    <row r="592">
      <c r="A592" s="27"/>
      <c r="B592" s="28"/>
      <c r="C592" s="9"/>
      <c r="D592" s="9"/>
      <c r="E592" s="9"/>
    </row>
    <row r="593">
      <c r="A593" s="27"/>
      <c r="B593" s="28"/>
      <c r="C593" s="9"/>
      <c r="D593" s="9"/>
      <c r="E593" s="9"/>
    </row>
    <row r="594">
      <c r="A594" s="27"/>
      <c r="B594" s="28"/>
      <c r="C594" s="9"/>
      <c r="D594" s="9"/>
      <c r="E594" s="9"/>
    </row>
    <row r="595">
      <c r="A595" s="27"/>
      <c r="B595" s="28"/>
      <c r="C595" s="9"/>
      <c r="D595" s="9"/>
      <c r="E595" s="9"/>
    </row>
    <row r="596">
      <c r="A596" s="27"/>
      <c r="B596" s="28"/>
      <c r="C596" s="9"/>
      <c r="D596" s="9"/>
      <c r="E596" s="9"/>
    </row>
    <row r="597">
      <c r="A597" s="27"/>
      <c r="B597" s="28"/>
      <c r="C597" s="9"/>
      <c r="D597" s="9"/>
      <c r="E597" s="9"/>
    </row>
    <row r="598">
      <c r="A598" s="27"/>
      <c r="B598" s="28"/>
      <c r="C598" s="9"/>
      <c r="D598" s="9"/>
      <c r="E598" s="9"/>
    </row>
    <row r="599">
      <c r="A599" s="27"/>
      <c r="B599" s="28"/>
      <c r="C599" s="9"/>
      <c r="D599" s="9"/>
      <c r="E599" s="9"/>
    </row>
    <row r="600">
      <c r="A600" s="27"/>
      <c r="B600" s="28"/>
      <c r="C600" s="9"/>
      <c r="D600" s="9"/>
      <c r="E600" s="9"/>
    </row>
    <row r="601">
      <c r="A601" s="27"/>
      <c r="B601" s="28"/>
      <c r="C601" s="9"/>
      <c r="D601" s="9"/>
      <c r="E601" s="9"/>
    </row>
    <row r="602">
      <c r="A602" s="27"/>
      <c r="B602" s="28"/>
      <c r="C602" s="9"/>
      <c r="D602" s="9"/>
      <c r="E602" s="9"/>
    </row>
    <row r="603">
      <c r="A603" s="27"/>
      <c r="B603" s="28"/>
      <c r="C603" s="9"/>
      <c r="D603" s="9"/>
      <c r="E603" s="9"/>
    </row>
    <row r="604">
      <c r="A604" s="27"/>
      <c r="B604" s="28"/>
      <c r="C604" s="9"/>
      <c r="D604" s="9"/>
      <c r="E604" s="9"/>
    </row>
    <row r="605">
      <c r="A605" s="27"/>
      <c r="B605" s="28"/>
      <c r="C605" s="9"/>
      <c r="D605" s="9"/>
      <c r="E605" s="9"/>
    </row>
    <row r="606">
      <c r="A606" s="27"/>
      <c r="B606" s="28"/>
      <c r="C606" s="9"/>
      <c r="D606" s="9"/>
      <c r="E606" s="9"/>
    </row>
    <row r="607">
      <c r="A607" s="27"/>
      <c r="B607" s="28"/>
      <c r="C607" s="9"/>
      <c r="D607" s="9"/>
      <c r="E607" s="9"/>
    </row>
    <row r="608">
      <c r="A608" s="27"/>
      <c r="B608" s="28"/>
      <c r="C608" s="9"/>
      <c r="D608" s="9"/>
      <c r="E608" s="9"/>
    </row>
    <row r="609">
      <c r="A609" s="27"/>
      <c r="B609" s="28"/>
      <c r="C609" s="9"/>
      <c r="D609" s="9"/>
      <c r="E609" s="9"/>
    </row>
    <row r="610">
      <c r="A610" s="27"/>
      <c r="B610" s="28"/>
      <c r="C610" s="9"/>
      <c r="D610" s="9"/>
      <c r="E610" s="9"/>
    </row>
    <row r="611">
      <c r="A611" s="27"/>
      <c r="B611" s="28"/>
      <c r="C611" s="9"/>
      <c r="D611" s="9"/>
      <c r="E611" s="9"/>
    </row>
    <row r="612">
      <c r="A612" s="27"/>
      <c r="B612" s="28"/>
      <c r="C612" s="9"/>
      <c r="D612" s="9"/>
      <c r="E612" s="9"/>
    </row>
    <row r="613">
      <c r="A613" s="27"/>
      <c r="B613" s="28"/>
      <c r="C613" s="9"/>
      <c r="D613" s="9"/>
      <c r="E613" s="9"/>
    </row>
    <row r="614">
      <c r="A614" s="27"/>
      <c r="B614" s="28"/>
      <c r="C614" s="9"/>
      <c r="D614" s="9"/>
      <c r="E614" s="9"/>
    </row>
    <row r="615">
      <c r="A615" s="27"/>
      <c r="B615" s="28"/>
      <c r="C615" s="9"/>
      <c r="D615" s="9"/>
      <c r="E615" s="9"/>
    </row>
    <row r="616">
      <c r="A616" s="27"/>
      <c r="B616" s="28"/>
      <c r="C616" s="9"/>
      <c r="D616" s="9"/>
      <c r="E616" s="9"/>
    </row>
    <row r="617">
      <c r="A617" s="27"/>
      <c r="B617" s="28"/>
      <c r="C617" s="9"/>
      <c r="D617" s="9"/>
      <c r="E617" s="9"/>
    </row>
    <row r="618">
      <c r="A618" s="27"/>
      <c r="B618" s="28"/>
      <c r="C618" s="9"/>
      <c r="D618" s="9"/>
      <c r="E618" s="9"/>
    </row>
    <row r="619">
      <c r="A619" s="27"/>
      <c r="B619" s="28"/>
      <c r="C619" s="9"/>
      <c r="D619" s="9"/>
      <c r="E619" s="9"/>
    </row>
    <row r="620">
      <c r="A620" s="27"/>
      <c r="B620" s="28"/>
      <c r="C620" s="9"/>
      <c r="D620" s="9"/>
      <c r="E620" s="9"/>
    </row>
    <row r="621">
      <c r="A621" s="27"/>
      <c r="B621" s="28"/>
      <c r="C621" s="9"/>
      <c r="D621" s="9"/>
      <c r="E621" s="9"/>
    </row>
    <row r="622">
      <c r="A622" s="27"/>
      <c r="B622" s="28"/>
      <c r="C622" s="9"/>
      <c r="D622" s="9"/>
      <c r="E622" s="9"/>
    </row>
    <row r="623">
      <c r="A623" s="27"/>
      <c r="B623" s="28"/>
      <c r="C623" s="9"/>
      <c r="D623" s="9"/>
      <c r="E623" s="9"/>
    </row>
    <row r="624">
      <c r="A624" s="27"/>
      <c r="B624" s="28"/>
      <c r="C624" s="9"/>
      <c r="D624" s="9"/>
      <c r="E624" s="9"/>
    </row>
    <row r="625">
      <c r="A625" s="27"/>
      <c r="B625" s="28"/>
      <c r="C625" s="9"/>
      <c r="D625" s="9"/>
      <c r="E625" s="9"/>
    </row>
    <row r="626">
      <c r="A626" s="27"/>
      <c r="B626" s="28"/>
      <c r="C626" s="9"/>
      <c r="D626" s="9"/>
      <c r="E626" s="9"/>
    </row>
    <row r="627">
      <c r="A627" s="27"/>
      <c r="B627" s="28"/>
      <c r="C627" s="9"/>
      <c r="D627" s="9"/>
      <c r="E627" s="9"/>
    </row>
    <row r="628">
      <c r="A628" s="27"/>
      <c r="B628" s="28"/>
      <c r="C628" s="9"/>
      <c r="D628" s="9"/>
      <c r="E628" s="9"/>
    </row>
    <row r="629">
      <c r="A629" s="27"/>
      <c r="B629" s="28"/>
      <c r="C629" s="9"/>
      <c r="D629" s="9"/>
      <c r="E629" s="9"/>
    </row>
    <row r="630">
      <c r="A630" s="27"/>
      <c r="B630" s="28"/>
      <c r="C630" s="9"/>
      <c r="D630" s="9"/>
      <c r="E630" s="9"/>
    </row>
    <row r="631">
      <c r="A631" s="27"/>
      <c r="B631" s="28"/>
      <c r="C631" s="9"/>
      <c r="D631" s="9"/>
      <c r="E631" s="9"/>
    </row>
    <row r="632">
      <c r="A632" s="27"/>
      <c r="B632" s="28"/>
      <c r="C632" s="9"/>
      <c r="D632" s="9"/>
      <c r="E632" s="9"/>
    </row>
    <row r="633">
      <c r="A633" s="27"/>
      <c r="B633" s="28"/>
      <c r="C633" s="9"/>
      <c r="D633" s="9"/>
      <c r="E633" s="9"/>
    </row>
    <row r="634">
      <c r="A634" s="27"/>
      <c r="B634" s="28"/>
      <c r="C634" s="9"/>
      <c r="D634" s="9"/>
      <c r="E634" s="9"/>
    </row>
    <row r="635">
      <c r="A635" s="27"/>
      <c r="B635" s="28"/>
      <c r="C635" s="9"/>
      <c r="D635" s="9"/>
      <c r="E635" s="9"/>
    </row>
    <row r="636">
      <c r="A636" s="27"/>
      <c r="B636" s="28"/>
      <c r="C636" s="9"/>
      <c r="D636" s="9"/>
      <c r="E636" s="9"/>
    </row>
    <row r="637">
      <c r="A637" s="27"/>
      <c r="B637" s="28"/>
      <c r="C637" s="9"/>
      <c r="D637" s="9"/>
      <c r="E637" s="9"/>
    </row>
    <row r="638">
      <c r="A638" s="27"/>
      <c r="B638" s="28"/>
      <c r="C638" s="9"/>
      <c r="D638" s="9"/>
      <c r="E638" s="9"/>
    </row>
    <row r="639">
      <c r="A639" s="27"/>
      <c r="B639" s="28"/>
      <c r="C639" s="9"/>
      <c r="D639" s="9"/>
      <c r="E639" s="9"/>
    </row>
    <row r="640">
      <c r="A640" s="27"/>
      <c r="B640" s="28"/>
      <c r="C640" s="9"/>
      <c r="D640" s="9"/>
      <c r="E640" s="9"/>
    </row>
    <row r="641">
      <c r="A641" s="27"/>
      <c r="B641" s="28"/>
      <c r="C641" s="9"/>
      <c r="D641" s="9"/>
      <c r="E641" s="9"/>
    </row>
    <row r="642">
      <c r="A642" s="27"/>
      <c r="B642" s="28"/>
      <c r="C642" s="9"/>
      <c r="D642" s="9"/>
      <c r="E642" s="9"/>
    </row>
    <row r="643">
      <c r="A643" s="27"/>
      <c r="B643" s="28"/>
      <c r="C643" s="9"/>
      <c r="D643" s="9"/>
      <c r="E643" s="9"/>
    </row>
    <row r="644">
      <c r="A644" s="27"/>
      <c r="B644" s="28"/>
      <c r="C644" s="9"/>
      <c r="D644" s="9"/>
      <c r="E644" s="9"/>
    </row>
    <row r="645">
      <c r="A645" s="27"/>
      <c r="B645" s="28"/>
      <c r="C645" s="9"/>
      <c r="D645" s="9"/>
      <c r="E645" s="9"/>
    </row>
    <row r="646">
      <c r="A646" s="27"/>
      <c r="B646" s="28"/>
      <c r="C646" s="9"/>
      <c r="D646" s="9"/>
      <c r="E646" s="9"/>
    </row>
    <row r="647">
      <c r="A647" s="27"/>
      <c r="B647" s="28"/>
      <c r="C647" s="9"/>
      <c r="D647" s="9"/>
      <c r="E647" s="9"/>
    </row>
    <row r="648">
      <c r="A648" s="27"/>
      <c r="B648" s="28"/>
      <c r="C648" s="9"/>
      <c r="D648" s="9"/>
      <c r="E648" s="9"/>
    </row>
    <row r="649">
      <c r="A649" s="27"/>
      <c r="B649" s="28"/>
      <c r="C649" s="9"/>
      <c r="D649" s="9"/>
      <c r="E649" s="9"/>
    </row>
    <row r="650">
      <c r="A650" s="27"/>
      <c r="B650" s="28"/>
      <c r="C650" s="9"/>
      <c r="D650" s="9"/>
      <c r="E650" s="9"/>
    </row>
    <row r="651">
      <c r="A651" s="27"/>
      <c r="B651" s="28"/>
      <c r="C651" s="9"/>
      <c r="D651" s="9"/>
      <c r="E651" s="9"/>
    </row>
    <row r="652">
      <c r="A652" s="27"/>
      <c r="B652" s="28"/>
      <c r="C652" s="9"/>
      <c r="D652" s="9"/>
      <c r="E652" s="9"/>
    </row>
    <row r="653">
      <c r="A653" s="27"/>
      <c r="B653" s="28"/>
      <c r="C653" s="9"/>
      <c r="D653" s="9"/>
      <c r="E653" s="9"/>
    </row>
    <row r="654">
      <c r="A654" s="27"/>
      <c r="B654" s="28"/>
      <c r="C654" s="9"/>
      <c r="D654" s="9"/>
      <c r="E654" s="9"/>
    </row>
    <row r="655">
      <c r="A655" s="27"/>
      <c r="B655" s="28"/>
      <c r="C655" s="9"/>
      <c r="D655" s="9"/>
      <c r="E655" s="9"/>
    </row>
    <row r="656">
      <c r="A656" s="27"/>
      <c r="B656" s="28"/>
      <c r="C656" s="9"/>
      <c r="D656" s="9"/>
      <c r="E656" s="9"/>
    </row>
    <row r="657">
      <c r="A657" s="27"/>
      <c r="B657" s="28"/>
      <c r="C657" s="9"/>
      <c r="D657" s="9"/>
      <c r="E657" s="9"/>
    </row>
    <row r="658">
      <c r="A658" s="27"/>
      <c r="B658" s="28"/>
      <c r="C658" s="9"/>
      <c r="D658" s="9"/>
      <c r="E658" s="9"/>
    </row>
    <row r="659">
      <c r="A659" s="27"/>
      <c r="B659" s="28"/>
      <c r="C659" s="9"/>
      <c r="D659" s="9"/>
      <c r="E659" s="9"/>
    </row>
    <row r="660">
      <c r="A660" s="27"/>
      <c r="B660" s="28"/>
      <c r="C660" s="9"/>
      <c r="D660" s="9"/>
      <c r="E660" s="9"/>
    </row>
    <row r="661">
      <c r="A661" s="27"/>
      <c r="B661" s="28"/>
      <c r="C661" s="9"/>
      <c r="D661" s="9"/>
      <c r="E661" s="9"/>
    </row>
    <row r="662">
      <c r="A662" s="27"/>
      <c r="B662" s="28"/>
      <c r="C662" s="9"/>
      <c r="D662" s="9"/>
      <c r="E662" s="9"/>
    </row>
    <row r="663">
      <c r="A663" s="27"/>
      <c r="B663" s="28"/>
      <c r="C663" s="9"/>
      <c r="D663" s="9"/>
      <c r="E663" s="9"/>
    </row>
    <row r="664">
      <c r="A664" s="27"/>
      <c r="B664" s="28"/>
      <c r="C664" s="9"/>
      <c r="D664" s="9"/>
      <c r="E664" s="9"/>
    </row>
    <row r="665">
      <c r="A665" s="27"/>
      <c r="B665" s="28"/>
      <c r="C665" s="9"/>
      <c r="D665" s="9"/>
      <c r="E665" s="9"/>
    </row>
    <row r="666">
      <c r="A666" s="27"/>
      <c r="B666" s="28"/>
      <c r="C666" s="9"/>
      <c r="D666" s="9"/>
      <c r="E666" s="9"/>
    </row>
    <row r="667">
      <c r="A667" s="27"/>
      <c r="B667" s="28"/>
      <c r="C667" s="9"/>
      <c r="D667" s="9"/>
      <c r="E667" s="9"/>
    </row>
    <row r="668">
      <c r="A668" s="27"/>
      <c r="B668" s="28"/>
      <c r="C668" s="9"/>
      <c r="D668" s="9"/>
      <c r="E668" s="9"/>
    </row>
    <row r="669">
      <c r="A669" s="27"/>
      <c r="B669" s="28"/>
      <c r="C669" s="9"/>
      <c r="D669" s="9"/>
      <c r="E669" s="9"/>
    </row>
    <row r="670">
      <c r="A670" s="27"/>
      <c r="B670" s="28"/>
      <c r="C670" s="9"/>
      <c r="D670" s="9"/>
      <c r="E670" s="9"/>
    </row>
    <row r="671">
      <c r="A671" s="27"/>
      <c r="B671" s="28"/>
      <c r="C671" s="9"/>
      <c r="D671" s="9"/>
      <c r="E671" s="9"/>
    </row>
    <row r="672">
      <c r="A672" s="27"/>
      <c r="B672" s="28"/>
      <c r="C672" s="9"/>
      <c r="D672" s="9"/>
      <c r="E672" s="9"/>
    </row>
    <row r="673">
      <c r="A673" s="27"/>
      <c r="B673" s="28"/>
      <c r="C673" s="9"/>
      <c r="D673" s="9"/>
      <c r="E673" s="9"/>
    </row>
    <row r="674">
      <c r="A674" s="27"/>
      <c r="B674" s="28"/>
      <c r="C674" s="9"/>
      <c r="D674" s="9"/>
      <c r="E674" s="9"/>
    </row>
    <row r="675">
      <c r="A675" s="27"/>
      <c r="B675" s="28"/>
      <c r="C675" s="9"/>
      <c r="D675" s="9"/>
      <c r="E675" s="9"/>
    </row>
    <row r="676">
      <c r="A676" s="27"/>
      <c r="B676" s="28"/>
      <c r="C676" s="9"/>
      <c r="D676" s="9"/>
      <c r="E676" s="9"/>
    </row>
    <row r="677">
      <c r="A677" s="27"/>
      <c r="B677" s="28"/>
      <c r="C677" s="9"/>
      <c r="D677" s="9"/>
      <c r="E677" s="9"/>
    </row>
    <row r="678">
      <c r="A678" s="27"/>
      <c r="B678" s="28"/>
      <c r="C678" s="9"/>
      <c r="D678" s="9"/>
      <c r="E678" s="9"/>
    </row>
    <row r="679">
      <c r="A679" s="27"/>
      <c r="B679" s="28"/>
      <c r="C679" s="9"/>
      <c r="D679" s="9"/>
      <c r="E679" s="9"/>
    </row>
    <row r="680">
      <c r="A680" s="27"/>
      <c r="B680" s="28"/>
      <c r="C680" s="9"/>
      <c r="D680" s="9"/>
      <c r="E680" s="9"/>
    </row>
    <row r="681">
      <c r="A681" s="27"/>
      <c r="B681" s="28"/>
      <c r="C681" s="9"/>
      <c r="D681" s="9"/>
      <c r="E681" s="9"/>
    </row>
    <row r="682">
      <c r="A682" s="27"/>
      <c r="B682" s="28"/>
      <c r="C682" s="9"/>
      <c r="D682" s="9"/>
      <c r="E682" s="9"/>
    </row>
    <row r="683">
      <c r="A683" s="27"/>
      <c r="B683" s="28"/>
      <c r="C683" s="9"/>
      <c r="D683" s="9"/>
      <c r="E683" s="9"/>
    </row>
    <row r="684">
      <c r="A684" s="27"/>
      <c r="B684" s="28"/>
      <c r="C684" s="9"/>
      <c r="D684" s="9"/>
      <c r="E684" s="9"/>
    </row>
    <row r="685">
      <c r="A685" s="27"/>
      <c r="B685" s="28"/>
      <c r="C685" s="9"/>
      <c r="D685" s="9"/>
      <c r="E685" s="9"/>
    </row>
    <row r="686">
      <c r="A686" s="27"/>
      <c r="B686" s="28"/>
      <c r="C686" s="9"/>
      <c r="D686" s="9"/>
      <c r="E686" s="9"/>
    </row>
    <row r="687">
      <c r="A687" s="27"/>
      <c r="B687" s="28"/>
      <c r="C687" s="9"/>
      <c r="D687" s="9"/>
      <c r="E687" s="9"/>
    </row>
    <row r="688">
      <c r="A688" s="27"/>
      <c r="B688" s="28"/>
      <c r="C688" s="9"/>
      <c r="D688" s="9"/>
      <c r="E688" s="9"/>
    </row>
    <row r="689">
      <c r="A689" s="27"/>
      <c r="B689" s="28"/>
      <c r="C689" s="9"/>
      <c r="D689" s="9"/>
      <c r="E689" s="9"/>
    </row>
    <row r="690">
      <c r="A690" s="27"/>
      <c r="B690" s="28"/>
      <c r="C690" s="9"/>
      <c r="D690" s="9"/>
      <c r="E690" s="9"/>
    </row>
    <row r="691">
      <c r="A691" s="27"/>
      <c r="B691" s="28"/>
      <c r="C691" s="9"/>
      <c r="D691" s="9"/>
      <c r="E691" s="9"/>
    </row>
    <row r="692">
      <c r="A692" s="27"/>
      <c r="B692" s="28"/>
      <c r="C692" s="9"/>
      <c r="D692" s="9"/>
      <c r="E692" s="9"/>
    </row>
    <row r="693">
      <c r="A693" s="27"/>
      <c r="B693" s="28"/>
      <c r="C693" s="9"/>
      <c r="D693" s="9"/>
      <c r="E693" s="9"/>
    </row>
    <row r="694">
      <c r="A694" s="27"/>
      <c r="B694" s="28"/>
      <c r="C694" s="9"/>
      <c r="D694" s="9"/>
      <c r="E694" s="9"/>
    </row>
    <row r="695">
      <c r="A695" s="27"/>
      <c r="B695" s="28"/>
      <c r="C695" s="9"/>
      <c r="D695" s="9"/>
      <c r="E695" s="9"/>
    </row>
    <row r="696">
      <c r="A696" s="27"/>
      <c r="B696" s="28"/>
      <c r="C696" s="9"/>
      <c r="D696" s="9"/>
      <c r="E696" s="9"/>
    </row>
    <row r="697">
      <c r="A697" s="27"/>
      <c r="B697" s="28"/>
      <c r="C697" s="9"/>
      <c r="D697" s="9"/>
      <c r="E697" s="9"/>
    </row>
    <row r="698">
      <c r="A698" s="27"/>
      <c r="B698" s="28"/>
      <c r="C698" s="9"/>
      <c r="D698" s="9"/>
      <c r="E698" s="9"/>
    </row>
    <row r="699">
      <c r="A699" s="27"/>
      <c r="B699" s="28"/>
      <c r="C699" s="9"/>
      <c r="D699" s="9"/>
      <c r="E699" s="9"/>
    </row>
    <row r="700">
      <c r="A700" s="27"/>
      <c r="B700" s="28"/>
      <c r="C700" s="9"/>
      <c r="D700" s="9"/>
      <c r="E700" s="9"/>
    </row>
    <row r="701">
      <c r="A701" s="27"/>
      <c r="B701" s="28"/>
      <c r="C701" s="9"/>
      <c r="D701" s="9"/>
      <c r="E701" s="9"/>
    </row>
    <row r="702">
      <c r="A702" s="27"/>
      <c r="B702" s="28"/>
      <c r="C702" s="9"/>
      <c r="D702" s="9"/>
      <c r="E702" s="9"/>
    </row>
    <row r="703">
      <c r="A703" s="27"/>
      <c r="B703" s="28"/>
      <c r="C703" s="9"/>
      <c r="D703" s="9"/>
      <c r="E703" s="9"/>
    </row>
    <row r="704">
      <c r="A704" s="27"/>
      <c r="B704" s="28"/>
      <c r="C704" s="9"/>
      <c r="D704" s="9"/>
      <c r="E704" s="9"/>
    </row>
    <row r="705">
      <c r="A705" s="27"/>
      <c r="B705" s="28"/>
      <c r="C705" s="9"/>
      <c r="D705" s="9"/>
      <c r="E705" s="9"/>
    </row>
    <row r="706">
      <c r="A706" s="27"/>
      <c r="B706" s="28"/>
      <c r="C706" s="9"/>
      <c r="D706" s="9"/>
      <c r="E706" s="9"/>
    </row>
    <row r="707">
      <c r="A707" s="27"/>
      <c r="B707" s="28"/>
      <c r="C707" s="9"/>
      <c r="D707" s="9"/>
      <c r="E707" s="9"/>
    </row>
    <row r="708">
      <c r="A708" s="27"/>
      <c r="B708" s="28"/>
      <c r="C708" s="9"/>
      <c r="D708" s="9"/>
      <c r="E708" s="9"/>
    </row>
    <row r="709">
      <c r="A709" s="27"/>
      <c r="B709" s="28"/>
      <c r="C709" s="9"/>
      <c r="D709" s="9"/>
      <c r="E709" s="9"/>
    </row>
    <row r="710">
      <c r="A710" s="27"/>
      <c r="B710" s="28"/>
      <c r="C710" s="9"/>
      <c r="D710" s="9"/>
      <c r="E710" s="9"/>
    </row>
    <row r="711">
      <c r="A711" s="27"/>
      <c r="B711" s="28"/>
      <c r="C711" s="9"/>
      <c r="D711" s="9"/>
      <c r="E711" s="9"/>
    </row>
    <row r="712">
      <c r="A712" s="27"/>
      <c r="B712" s="28"/>
      <c r="C712" s="9"/>
      <c r="D712" s="9"/>
      <c r="E712" s="9"/>
    </row>
    <row r="713">
      <c r="A713" s="27"/>
      <c r="B713" s="28"/>
      <c r="C713" s="9"/>
      <c r="D713" s="9"/>
      <c r="E713" s="9"/>
    </row>
    <row r="714">
      <c r="A714" s="27"/>
      <c r="B714" s="28"/>
      <c r="C714" s="9"/>
      <c r="D714" s="9"/>
      <c r="E714" s="9"/>
    </row>
    <row r="715">
      <c r="A715" s="27"/>
      <c r="B715" s="28"/>
      <c r="C715" s="9"/>
      <c r="D715" s="9"/>
      <c r="E715" s="9"/>
    </row>
    <row r="716">
      <c r="A716" s="27"/>
      <c r="B716" s="28"/>
      <c r="C716" s="9"/>
      <c r="D716" s="9"/>
      <c r="E716" s="9"/>
    </row>
    <row r="717">
      <c r="A717" s="27"/>
      <c r="B717" s="28"/>
      <c r="C717" s="9"/>
      <c r="D717" s="9"/>
      <c r="E717" s="9"/>
    </row>
    <row r="718">
      <c r="A718" s="27"/>
      <c r="B718" s="28"/>
      <c r="C718" s="9"/>
      <c r="D718" s="9"/>
      <c r="E718" s="9"/>
    </row>
    <row r="719">
      <c r="A719" s="27"/>
      <c r="B719" s="28"/>
      <c r="C719" s="9"/>
      <c r="D719" s="9"/>
      <c r="E719" s="9"/>
    </row>
    <row r="720">
      <c r="A720" s="27"/>
      <c r="B720" s="28"/>
      <c r="C720" s="9"/>
      <c r="D720" s="9"/>
      <c r="E720" s="9"/>
    </row>
    <row r="721">
      <c r="A721" s="27"/>
      <c r="B721" s="28"/>
      <c r="C721" s="9"/>
      <c r="D721" s="9"/>
      <c r="E721" s="9"/>
    </row>
    <row r="722">
      <c r="A722" s="27"/>
      <c r="B722" s="28"/>
      <c r="C722" s="9"/>
      <c r="D722" s="9"/>
      <c r="E722" s="9"/>
    </row>
    <row r="723">
      <c r="A723" s="27"/>
      <c r="B723" s="28"/>
      <c r="C723" s="9"/>
      <c r="D723" s="9"/>
      <c r="E723" s="9"/>
    </row>
    <row r="724">
      <c r="A724" s="27"/>
      <c r="B724" s="28"/>
      <c r="C724" s="9"/>
      <c r="D724" s="9"/>
      <c r="E724" s="9"/>
    </row>
    <row r="725">
      <c r="A725" s="27"/>
      <c r="B725" s="28"/>
      <c r="C725" s="9"/>
      <c r="D725" s="9"/>
      <c r="E725" s="9"/>
    </row>
    <row r="726">
      <c r="A726" s="27"/>
      <c r="B726" s="28"/>
      <c r="C726" s="9"/>
      <c r="D726" s="9"/>
      <c r="E726" s="9"/>
    </row>
    <row r="727">
      <c r="A727" s="27"/>
      <c r="B727" s="28"/>
      <c r="C727" s="9"/>
      <c r="D727" s="9"/>
      <c r="E727" s="9"/>
    </row>
    <row r="728">
      <c r="A728" s="27"/>
      <c r="B728" s="28"/>
      <c r="C728" s="9"/>
      <c r="D728" s="9"/>
      <c r="E728" s="9"/>
    </row>
    <row r="729">
      <c r="A729" s="27"/>
      <c r="B729" s="28"/>
      <c r="C729" s="9"/>
      <c r="D729" s="9"/>
      <c r="E729" s="9"/>
    </row>
    <row r="730">
      <c r="A730" s="27"/>
      <c r="B730" s="28"/>
      <c r="C730" s="9"/>
      <c r="D730" s="9"/>
      <c r="E730" s="9"/>
    </row>
    <row r="731">
      <c r="A731" s="27"/>
      <c r="B731" s="28"/>
      <c r="C731" s="9"/>
      <c r="D731" s="9"/>
      <c r="E731" s="9"/>
    </row>
    <row r="732">
      <c r="A732" s="27"/>
      <c r="B732" s="28"/>
      <c r="C732" s="9"/>
      <c r="D732" s="9"/>
      <c r="E732" s="9"/>
    </row>
    <row r="733">
      <c r="A733" s="27"/>
      <c r="B733" s="28"/>
      <c r="C733" s="9"/>
      <c r="D733" s="9"/>
      <c r="E733" s="9"/>
    </row>
    <row r="734">
      <c r="A734" s="27"/>
      <c r="B734" s="28"/>
      <c r="C734" s="9"/>
      <c r="D734" s="9"/>
      <c r="E734" s="9"/>
    </row>
    <row r="735">
      <c r="A735" s="27"/>
      <c r="B735" s="28"/>
      <c r="C735" s="9"/>
      <c r="D735" s="9"/>
      <c r="E735" s="9"/>
    </row>
    <row r="736">
      <c r="A736" s="27"/>
      <c r="B736" s="28"/>
      <c r="C736" s="9"/>
      <c r="D736" s="9"/>
      <c r="E736" s="9"/>
    </row>
    <row r="737">
      <c r="A737" s="27"/>
      <c r="B737" s="28"/>
      <c r="C737" s="9"/>
      <c r="D737" s="9"/>
      <c r="E737" s="9"/>
    </row>
    <row r="738">
      <c r="A738" s="27"/>
      <c r="B738" s="28"/>
      <c r="C738" s="9"/>
      <c r="D738" s="9"/>
      <c r="E738" s="9"/>
    </row>
    <row r="739">
      <c r="A739" s="27"/>
      <c r="B739" s="28"/>
      <c r="C739" s="9"/>
      <c r="D739" s="9"/>
      <c r="E739" s="9"/>
    </row>
    <row r="740">
      <c r="A740" s="27"/>
      <c r="B740" s="28"/>
      <c r="C740" s="9"/>
      <c r="D740" s="9"/>
      <c r="E740" s="9"/>
    </row>
    <row r="741">
      <c r="A741" s="27"/>
      <c r="B741" s="28"/>
      <c r="C741" s="9"/>
      <c r="D741" s="9"/>
      <c r="E741" s="9"/>
    </row>
    <row r="742">
      <c r="A742" s="27"/>
      <c r="B742" s="28"/>
      <c r="C742" s="9"/>
      <c r="D742" s="9"/>
      <c r="E742" s="9"/>
    </row>
    <row r="743">
      <c r="A743" s="27"/>
      <c r="B743" s="28"/>
      <c r="C743" s="9"/>
      <c r="D743" s="9"/>
      <c r="E743" s="9"/>
    </row>
    <row r="744">
      <c r="A744" s="27"/>
      <c r="B744" s="28"/>
      <c r="C744" s="9"/>
      <c r="D744" s="9"/>
      <c r="E744" s="9"/>
    </row>
    <row r="745">
      <c r="A745" s="27"/>
      <c r="B745" s="28"/>
      <c r="C745" s="9"/>
      <c r="D745" s="9"/>
      <c r="E745" s="9"/>
    </row>
    <row r="746">
      <c r="A746" s="27"/>
      <c r="B746" s="28"/>
      <c r="C746" s="9"/>
      <c r="D746" s="9"/>
      <c r="E746" s="9"/>
    </row>
    <row r="747">
      <c r="A747" s="27"/>
      <c r="B747" s="28"/>
      <c r="C747" s="9"/>
      <c r="D747" s="9"/>
      <c r="E747" s="9"/>
    </row>
    <row r="748">
      <c r="A748" s="27"/>
      <c r="B748" s="28"/>
      <c r="C748" s="9"/>
      <c r="D748" s="9"/>
      <c r="E748" s="9"/>
    </row>
    <row r="749">
      <c r="A749" s="27"/>
      <c r="B749" s="28"/>
      <c r="C749" s="9"/>
      <c r="D749" s="9"/>
      <c r="E749" s="9"/>
    </row>
    <row r="750">
      <c r="A750" s="27"/>
      <c r="B750" s="28"/>
      <c r="C750" s="9"/>
      <c r="D750" s="9"/>
      <c r="E750" s="9"/>
    </row>
    <row r="751">
      <c r="A751" s="27"/>
      <c r="B751" s="28"/>
      <c r="C751" s="9"/>
      <c r="D751" s="9"/>
      <c r="E751" s="9"/>
    </row>
    <row r="752">
      <c r="A752" s="27"/>
      <c r="B752" s="28"/>
      <c r="C752" s="9"/>
      <c r="D752" s="9"/>
      <c r="E752" s="9"/>
    </row>
    <row r="753">
      <c r="A753" s="27"/>
      <c r="B753" s="28"/>
      <c r="C753" s="9"/>
      <c r="D753" s="9"/>
      <c r="E753" s="9"/>
    </row>
    <row r="754">
      <c r="A754" s="27"/>
      <c r="B754" s="28"/>
      <c r="C754" s="9"/>
      <c r="D754" s="9"/>
      <c r="E754" s="9"/>
    </row>
    <row r="755">
      <c r="A755" s="27"/>
      <c r="B755" s="28"/>
      <c r="C755" s="9"/>
      <c r="D755" s="9"/>
      <c r="E755" s="9"/>
    </row>
    <row r="756">
      <c r="A756" s="27"/>
      <c r="B756" s="28"/>
      <c r="C756" s="9"/>
      <c r="D756" s="9"/>
      <c r="E756" s="9"/>
    </row>
    <row r="757">
      <c r="A757" s="27"/>
      <c r="B757" s="28"/>
      <c r="C757" s="9"/>
      <c r="D757" s="9"/>
      <c r="E757" s="9"/>
    </row>
    <row r="758">
      <c r="A758" s="27"/>
      <c r="B758" s="28"/>
      <c r="C758" s="9"/>
      <c r="D758" s="9"/>
      <c r="E758" s="9"/>
    </row>
    <row r="759">
      <c r="A759" s="27"/>
      <c r="B759" s="28"/>
      <c r="C759" s="9"/>
      <c r="D759" s="9"/>
      <c r="E759" s="9"/>
    </row>
    <row r="760">
      <c r="A760" s="27"/>
      <c r="B760" s="28"/>
      <c r="C760" s="9"/>
      <c r="D760" s="9"/>
      <c r="E760" s="9"/>
    </row>
    <row r="761">
      <c r="A761" s="27"/>
      <c r="B761" s="28"/>
      <c r="C761" s="9"/>
      <c r="D761" s="9"/>
      <c r="E761" s="9"/>
    </row>
    <row r="762">
      <c r="A762" s="27"/>
      <c r="B762" s="28"/>
      <c r="C762" s="9"/>
      <c r="D762" s="9"/>
      <c r="E762" s="9"/>
    </row>
    <row r="763">
      <c r="A763" s="27"/>
      <c r="B763" s="28"/>
      <c r="C763" s="9"/>
      <c r="D763" s="9"/>
      <c r="E763" s="9"/>
    </row>
    <row r="764">
      <c r="A764" s="27"/>
      <c r="B764" s="28"/>
      <c r="C764" s="9"/>
      <c r="D764" s="9"/>
      <c r="E764" s="9"/>
    </row>
    <row r="765">
      <c r="A765" s="27"/>
      <c r="B765" s="28"/>
      <c r="C765" s="9"/>
      <c r="D765" s="9"/>
      <c r="E765" s="9"/>
    </row>
    <row r="766">
      <c r="A766" s="27"/>
      <c r="B766" s="28"/>
      <c r="C766" s="9"/>
      <c r="D766" s="9"/>
      <c r="E766" s="9"/>
    </row>
    <row r="767">
      <c r="A767" s="27"/>
      <c r="B767" s="28"/>
      <c r="C767" s="9"/>
      <c r="D767" s="9"/>
      <c r="E767" s="9"/>
    </row>
    <row r="768">
      <c r="A768" s="27"/>
      <c r="B768" s="28"/>
      <c r="C768" s="9"/>
      <c r="D768" s="9"/>
      <c r="E768" s="9"/>
    </row>
    <row r="769">
      <c r="A769" s="27"/>
      <c r="B769" s="28"/>
      <c r="C769" s="9"/>
      <c r="D769" s="9"/>
      <c r="E769" s="9"/>
    </row>
    <row r="770">
      <c r="A770" s="27"/>
      <c r="B770" s="28"/>
      <c r="C770" s="9"/>
      <c r="D770" s="9"/>
      <c r="E770" s="9"/>
    </row>
    <row r="771">
      <c r="A771" s="27"/>
      <c r="B771" s="28"/>
      <c r="C771" s="9"/>
      <c r="D771" s="9"/>
      <c r="E771" s="9"/>
    </row>
    <row r="772">
      <c r="A772" s="27"/>
      <c r="B772" s="28"/>
      <c r="C772" s="9"/>
      <c r="D772" s="9"/>
      <c r="E772" s="9"/>
    </row>
    <row r="773">
      <c r="A773" s="27"/>
      <c r="B773" s="28"/>
      <c r="C773" s="9"/>
      <c r="D773" s="9"/>
      <c r="E773" s="9"/>
    </row>
    <row r="774">
      <c r="A774" s="27"/>
      <c r="B774" s="28"/>
      <c r="C774" s="9"/>
      <c r="D774" s="9"/>
      <c r="E774" s="9"/>
    </row>
    <row r="775">
      <c r="A775" s="27"/>
      <c r="B775" s="28"/>
      <c r="C775" s="9"/>
      <c r="D775" s="9"/>
      <c r="E775" s="9"/>
    </row>
    <row r="776">
      <c r="A776" s="27"/>
      <c r="B776" s="28"/>
      <c r="C776" s="9"/>
      <c r="D776" s="9"/>
      <c r="E776" s="9"/>
    </row>
    <row r="777">
      <c r="A777" s="27"/>
      <c r="B777" s="28"/>
      <c r="C777" s="9"/>
      <c r="D777" s="9"/>
      <c r="E777" s="9"/>
    </row>
    <row r="778">
      <c r="A778" s="27"/>
      <c r="B778" s="28"/>
      <c r="C778" s="9"/>
      <c r="D778" s="9"/>
      <c r="E778" s="9"/>
    </row>
    <row r="779">
      <c r="A779" s="27"/>
      <c r="B779" s="28"/>
      <c r="C779" s="9"/>
      <c r="D779" s="9"/>
      <c r="E779" s="9"/>
    </row>
    <row r="780">
      <c r="A780" s="27"/>
      <c r="B780" s="28"/>
      <c r="C780" s="9"/>
      <c r="D780" s="9"/>
      <c r="E780" s="9"/>
    </row>
    <row r="781">
      <c r="A781" s="27"/>
      <c r="B781" s="28"/>
      <c r="C781" s="9"/>
      <c r="D781" s="9"/>
      <c r="E781" s="9"/>
    </row>
    <row r="782">
      <c r="A782" s="27"/>
      <c r="B782" s="28"/>
      <c r="C782" s="9"/>
      <c r="D782" s="9"/>
      <c r="E782" s="9"/>
    </row>
    <row r="783">
      <c r="A783" s="27"/>
      <c r="B783" s="28"/>
      <c r="C783" s="9"/>
      <c r="D783" s="9"/>
      <c r="E783" s="9"/>
    </row>
    <row r="784">
      <c r="A784" s="27"/>
      <c r="B784" s="28"/>
      <c r="C784" s="9"/>
      <c r="D784" s="9"/>
      <c r="E784" s="9"/>
    </row>
    <row r="785">
      <c r="A785" s="27"/>
      <c r="B785" s="28"/>
      <c r="C785" s="9"/>
      <c r="D785" s="9"/>
      <c r="E785" s="9"/>
    </row>
    <row r="786">
      <c r="A786" s="27"/>
      <c r="B786" s="28"/>
      <c r="C786" s="9"/>
      <c r="D786" s="9"/>
      <c r="E786" s="9"/>
    </row>
    <row r="787">
      <c r="A787" s="27"/>
      <c r="B787" s="28"/>
      <c r="C787" s="9"/>
      <c r="D787" s="9"/>
      <c r="E787" s="9"/>
    </row>
    <row r="788">
      <c r="A788" s="27"/>
      <c r="B788" s="28"/>
      <c r="C788" s="9"/>
      <c r="D788" s="9"/>
      <c r="E788" s="9"/>
    </row>
    <row r="789">
      <c r="A789" s="27"/>
      <c r="B789" s="28"/>
      <c r="C789" s="9"/>
      <c r="D789" s="9"/>
      <c r="E789" s="9"/>
    </row>
    <row r="790">
      <c r="A790" s="27"/>
      <c r="B790" s="28"/>
      <c r="C790" s="9"/>
      <c r="D790" s="9"/>
      <c r="E790" s="9"/>
    </row>
    <row r="791">
      <c r="A791" s="27"/>
      <c r="B791" s="28"/>
      <c r="C791" s="9"/>
      <c r="D791" s="9"/>
      <c r="E791" s="9"/>
    </row>
    <row r="792">
      <c r="A792" s="27"/>
      <c r="B792" s="28"/>
      <c r="C792" s="9"/>
      <c r="D792" s="9"/>
      <c r="E792" s="9"/>
    </row>
    <row r="793">
      <c r="A793" s="27"/>
      <c r="B793" s="28"/>
      <c r="C793" s="9"/>
      <c r="D793" s="9"/>
      <c r="E793" s="9"/>
    </row>
    <row r="794">
      <c r="A794" s="27"/>
      <c r="B794" s="28"/>
      <c r="C794" s="9"/>
      <c r="D794" s="9"/>
      <c r="E794" s="9"/>
    </row>
    <row r="795">
      <c r="A795" s="27"/>
      <c r="B795" s="28"/>
      <c r="C795" s="9"/>
      <c r="D795" s="9"/>
      <c r="E795" s="9"/>
    </row>
    <row r="796">
      <c r="A796" s="27"/>
      <c r="B796" s="28"/>
      <c r="C796" s="9"/>
      <c r="D796" s="9"/>
      <c r="E796" s="9"/>
    </row>
    <row r="797">
      <c r="A797" s="27"/>
      <c r="B797" s="28"/>
      <c r="C797" s="9"/>
      <c r="D797" s="9"/>
      <c r="E797" s="9"/>
    </row>
    <row r="798">
      <c r="A798" s="27"/>
      <c r="B798" s="28"/>
      <c r="C798" s="9"/>
      <c r="D798" s="9"/>
      <c r="E798" s="9"/>
    </row>
    <row r="799">
      <c r="A799" s="27"/>
      <c r="B799" s="28"/>
      <c r="C799" s="9"/>
      <c r="D799" s="9"/>
      <c r="E799" s="9"/>
    </row>
    <row r="800">
      <c r="A800" s="27"/>
      <c r="B800" s="28"/>
      <c r="C800" s="9"/>
      <c r="D800" s="9"/>
      <c r="E800" s="9"/>
    </row>
    <row r="801">
      <c r="A801" s="27"/>
      <c r="B801" s="28"/>
      <c r="C801" s="9"/>
      <c r="D801" s="9"/>
      <c r="E801" s="9"/>
    </row>
    <row r="802">
      <c r="A802" s="27"/>
      <c r="B802" s="28"/>
      <c r="C802" s="9"/>
      <c r="D802" s="9"/>
      <c r="E802" s="9"/>
    </row>
    <row r="803">
      <c r="A803" s="27"/>
      <c r="B803" s="28"/>
      <c r="C803" s="9"/>
      <c r="D803" s="9"/>
      <c r="E803" s="9"/>
    </row>
    <row r="804">
      <c r="A804" s="27"/>
      <c r="B804" s="28"/>
      <c r="C804" s="9"/>
      <c r="D804" s="9"/>
      <c r="E804" s="9"/>
    </row>
    <row r="805">
      <c r="A805" s="27"/>
      <c r="B805" s="28"/>
      <c r="C805" s="9"/>
      <c r="D805" s="9"/>
      <c r="E805" s="9"/>
    </row>
    <row r="806">
      <c r="A806" s="27"/>
      <c r="B806" s="28"/>
      <c r="C806" s="9"/>
      <c r="D806" s="9"/>
      <c r="E806" s="9"/>
    </row>
    <row r="807">
      <c r="A807" s="27"/>
      <c r="B807" s="28"/>
      <c r="C807" s="9"/>
      <c r="D807" s="9"/>
      <c r="E807" s="9"/>
    </row>
    <row r="808">
      <c r="A808" s="27"/>
      <c r="B808" s="28"/>
      <c r="C808" s="9"/>
      <c r="D808" s="9"/>
      <c r="E808" s="9"/>
    </row>
    <row r="809">
      <c r="A809" s="27"/>
      <c r="B809" s="28"/>
      <c r="C809" s="9"/>
      <c r="D809" s="9"/>
      <c r="E809" s="9"/>
    </row>
    <row r="810">
      <c r="A810" s="27"/>
      <c r="B810" s="28"/>
      <c r="C810" s="9"/>
      <c r="D810" s="9"/>
      <c r="E810" s="9"/>
    </row>
    <row r="811">
      <c r="A811" s="27"/>
      <c r="B811" s="28"/>
      <c r="C811" s="9"/>
      <c r="D811" s="9"/>
      <c r="E811" s="9"/>
    </row>
    <row r="812">
      <c r="A812" s="27"/>
      <c r="B812" s="28"/>
      <c r="C812" s="9"/>
      <c r="D812" s="9"/>
      <c r="E812" s="9"/>
    </row>
    <row r="813">
      <c r="A813" s="27"/>
      <c r="B813" s="28"/>
      <c r="C813" s="9"/>
      <c r="D813" s="9"/>
      <c r="E813" s="9"/>
    </row>
    <row r="814">
      <c r="A814" s="27"/>
      <c r="B814" s="28"/>
      <c r="C814" s="9"/>
      <c r="D814" s="9"/>
      <c r="E814" s="9"/>
    </row>
    <row r="815">
      <c r="A815" s="27"/>
      <c r="B815" s="28"/>
      <c r="C815" s="9"/>
      <c r="D815" s="9"/>
      <c r="E815" s="9"/>
    </row>
    <row r="816">
      <c r="A816" s="27"/>
      <c r="B816" s="28"/>
      <c r="C816" s="9"/>
      <c r="D816" s="9"/>
      <c r="E816" s="9"/>
    </row>
    <row r="817">
      <c r="A817" s="27"/>
      <c r="B817" s="28"/>
      <c r="C817" s="9"/>
      <c r="D817" s="9"/>
      <c r="E817" s="9"/>
    </row>
    <row r="818">
      <c r="A818" s="27"/>
      <c r="B818" s="28"/>
      <c r="C818" s="9"/>
      <c r="D818" s="9"/>
      <c r="E818" s="9"/>
    </row>
    <row r="819">
      <c r="A819" s="27"/>
      <c r="B819" s="28"/>
      <c r="C819" s="9"/>
      <c r="D819" s="9"/>
      <c r="E819" s="9"/>
    </row>
    <row r="820">
      <c r="A820" s="27"/>
      <c r="B820" s="28"/>
      <c r="C820" s="9"/>
      <c r="D820" s="9"/>
      <c r="E820" s="9"/>
    </row>
    <row r="821">
      <c r="A821" s="27"/>
      <c r="B821" s="28"/>
      <c r="C821" s="9"/>
      <c r="D821" s="9"/>
      <c r="E821" s="9"/>
    </row>
    <row r="822">
      <c r="A822" s="27"/>
      <c r="B822" s="28"/>
      <c r="C822" s="9"/>
      <c r="D822" s="9"/>
      <c r="E822" s="9"/>
    </row>
    <row r="823">
      <c r="A823" s="27"/>
      <c r="B823" s="28"/>
      <c r="C823" s="9"/>
      <c r="D823" s="9"/>
      <c r="E823" s="9"/>
    </row>
    <row r="824">
      <c r="A824" s="27"/>
      <c r="B824" s="28"/>
      <c r="C824" s="9"/>
      <c r="D824" s="9"/>
      <c r="E824" s="9"/>
    </row>
    <row r="825">
      <c r="A825" s="27"/>
      <c r="B825" s="28"/>
      <c r="C825" s="9"/>
      <c r="D825" s="9"/>
      <c r="E825" s="9"/>
    </row>
    <row r="826">
      <c r="A826" s="27"/>
      <c r="B826" s="28"/>
      <c r="C826" s="9"/>
      <c r="D826" s="9"/>
      <c r="E826" s="9"/>
    </row>
    <row r="827">
      <c r="A827" s="27"/>
      <c r="B827" s="28"/>
      <c r="C827" s="9"/>
      <c r="D827" s="9"/>
      <c r="E827" s="9"/>
    </row>
    <row r="828">
      <c r="A828" s="27"/>
      <c r="B828" s="28"/>
      <c r="C828" s="9"/>
      <c r="D828" s="9"/>
      <c r="E828" s="9"/>
    </row>
    <row r="829">
      <c r="A829" s="27"/>
      <c r="B829" s="28"/>
      <c r="C829" s="9"/>
      <c r="D829" s="9"/>
      <c r="E829" s="9"/>
    </row>
    <row r="830">
      <c r="A830" s="27"/>
      <c r="B830" s="28"/>
      <c r="C830" s="9"/>
      <c r="D830" s="9"/>
      <c r="E830" s="9"/>
    </row>
    <row r="831">
      <c r="A831" s="27"/>
      <c r="B831" s="28"/>
      <c r="C831" s="9"/>
      <c r="D831" s="9"/>
      <c r="E831" s="9"/>
    </row>
    <row r="832">
      <c r="A832" s="27"/>
      <c r="B832" s="28"/>
      <c r="C832" s="9"/>
      <c r="D832" s="9"/>
      <c r="E832" s="9"/>
    </row>
    <row r="833">
      <c r="A833" s="27"/>
      <c r="B833" s="28"/>
      <c r="C833" s="9"/>
      <c r="D833" s="9"/>
      <c r="E833" s="9"/>
    </row>
    <row r="834">
      <c r="A834" s="27"/>
      <c r="B834" s="28"/>
      <c r="C834" s="9"/>
      <c r="D834" s="9"/>
      <c r="E834" s="9"/>
    </row>
    <row r="835">
      <c r="A835" s="27"/>
      <c r="B835" s="28"/>
      <c r="C835" s="9"/>
      <c r="D835" s="9"/>
      <c r="E835" s="9"/>
    </row>
    <row r="836">
      <c r="A836" s="27"/>
      <c r="B836" s="28"/>
      <c r="C836" s="9"/>
      <c r="D836" s="9"/>
      <c r="E836" s="9"/>
    </row>
    <row r="837">
      <c r="A837" s="27"/>
      <c r="B837" s="28"/>
      <c r="C837" s="9"/>
      <c r="D837" s="9"/>
      <c r="E837" s="9"/>
    </row>
    <row r="838">
      <c r="A838" s="27"/>
      <c r="B838" s="28"/>
      <c r="C838" s="9"/>
      <c r="D838" s="9"/>
      <c r="E838" s="9"/>
    </row>
    <row r="839">
      <c r="A839" s="27"/>
      <c r="B839" s="28"/>
      <c r="C839" s="9"/>
      <c r="D839" s="9"/>
      <c r="E839" s="9"/>
    </row>
    <row r="840">
      <c r="A840" s="27"/>
      <c r="B840" s="28"/>
      <c r="C840" s="9"/>
      <c r="D840" s="9"/>
      <c r="E840" s="9"/>
    </row>
    <row r="841">
      <c r="A841" s="27"/>
      <c r="B841" s="28"/>
      <c r="C841" s="9"/>
      <c r="D841" s="9"/>
      <c r="E841" s="9"/>
    </row>
    <row r="842">
      <c r="A842" s="27"/>
      <c r="B842" s="28"/>
      <c r="C842" s="9"/>
      <c r="D842" s="9"/>
      <c r="E842" s="9"/>
    </row>
    <row r="843">
      <c r="A843" s="27"/>
      <c r="B843" s="28"/>
      <c r="C843" s="9"/>
      <c r="D843" s="9"/>
      <c r="E843" s="9"/>
    </row>
    <row r="844">
      <c r="A844" s="27"/>
      <c r="B844" s="28"/>
      <c r="C844" s="9"/>
      <c r="D844" s="9"/>
      <c r="E844" s="9"/>
    </row>
    <row r="845">
      <c r="A845" s="27"/>
      <c r="B845" s="28"/>
      <c r="C845" s="9"/>
      <c r="D845" s="9"/>
      <c r="E845" s="9"/>
    </row>
    <row r="846">
      <c r="A846" s="27"/>
      <c r="B846" s="28"/>
      <c r="C846" s="9"/>
      <c r="D846" s="9"/>
      <c r="E846" s="9"/>
    </row>
    <row r="847">
      <c r="A847" s="27"/>
      <c r="B847" s="28"/>
      <c r="C847" s="9"/>
      <c r="D847" s="9"/>
      <c r="E847" s="9"/>
    </row>
    <row r="848">
      <c r="A848" s="27"/>
      <c r="B848" s="28"/>
      <c r="C848" s="9"/>
      <c r="D848" s="9"/>
      <c r="E848" s="9"/>
    </row>
    <row r="849">
      <c r="A849" s="27"/>
      <c r="B849" s="28"/>
      <c r="C849" s="9"/>
      <c r="D849" s="9"/>
      <c r="E849" s="9"/>
    </row>
    <row r="850">
      <c r="A850" s="27"/>
      <c r="B850" s="28"/>
      <c r="C850" s="9"/>
      <c r="D850" s="9"/>
      <c r="E850" s="9"/>
    </row>
    <row r="851">
      <c r="A851" s="27"/>
      <c r="B851" s="28"/>
      <c r="C851" s="9"/>
      <c r="D851" s="9"/>
      <c r="E851" s="9"/>
    </row>
    <row r="852">
      <c r="A852" s="27"/>
      <c r="B852" s="28"/>
      <c r="C852" s="9"/>
      <c r="D852" s="9"/>
      <c r="E852" s="9"/>
    </row>
    <row r="853">
      <c r="A853" s="27"/>
      <c r="B853" s="28"/>
      <c r="C853" s="9"/>
      <c r="D853" s="9"/>
      <c r="E853" s="9"/>
    </row>
    <row r="854">
      <c r="A854" s="27"/>
      <c r="B854" s="28"/>
      <c r="C854" s="9"/>
      <c r="D854" s="9"/>
      <c r="E854" s="9"/>
    </row>
    <row r="855">
      <c r="A855" s="27"/>
      <c r="B855" s="28"/>
      <c r="C855" s="9"/>
      <c r="D855" s="9"/>
      <c r="E855" s="9"/>
    </row>
    <row r="856">
      <c r="A856" s="27"/>
      <c r="B856" s="28"/>
      <c r="C856" s="9"/>
      <c r="D856" s="9"/>
      <c r="E856" s="9"/>
    </row>
    <row r="857">
      <c r="A857" s="27"/>
      <c r="B857" s="28"/>
      <c r="C857" s="9"/>
      <c r="D857" s="9"/>
      <c r="E857" s="9"/>
    </row>
    <row r="858">
      <c r="A858" s="27"/>
      <c r="B858" s="28"/>
      <c r="C858" s="9"/>
      <c r="D858" s="9"/>
      <c r="E858" s="9"/>
    </row>
    <row r="859">
      <c r="A859" s="27"/>
      <c r="B859" s="28"/>
      <c r="C859" s="9"/>
      <c r="D859" s="9"/>
      <c r="E859" s="9"/>
    </row>
    <row r="860">
      <c r="A860" s="27"/>
      <c r="B860" s="28"/>
      <c r="C860" s="9"/>
      <c r="D860" s="9"/>
      <c r="E860" s="9"/>
    </row>
    <row r="861">
      <c r="A861" s="27"/>
      <c r="B861" s="28"/>
      <c r="C861" s="9"/>
      <c r="D861" s="9"/>
      <c r="E861" s="9"/>
    </row>
    <row r="862">
      <c r="A862" s="27"/>
      <c r="B862" s="28"/>
      <c r="C862" s="9"/>
      <c r="D862" s="9"/>
      <c r="E862" s="9"/>
    </row>
    <row r="863">
      <c r="A863" s="27"/>
      <c r="B863" s="28"/>
      <c r="C863" s="9"/>
      <c r="D863" s="9"/>
      <c r="E863" s="9"/>
    </row>
    <row r="864">
      <c r="A864" s="27"/>
      <c r="B864" s="28"/>
      <c r="C864" s="9"/>
      <c r="D864" s="9"/>
      <c r="E864" s="9"/>
    </row>
    <row r="865">
      <c r="A865" s="27"/>
      <c r="B865" s="28"/>
      <c r="C865" s="9"/>
      <c r="D865" s="9"/>
      <c r="E865" s="9"/>
    </row>
    <row r="866">
      <c r="A866" s="27"/>
      <c r="B866" s="28"/>
      <c r="C866" s="9"/>
      <c r="D866" s="9"/>
      <c r="E866" s="9"/>
    </row>
    <row r="867">
      <c r="A867" s="27"/>
      <c r="B867" s="28"/>
      <c r="C867" s="9"/>
      <c r="D867" s="9"/>
      <c r="E867" s="9"/>
    </row>
    <row r="868">
      <c r="A868" s="27"/>
      <c r="B868" s="28"/>
      <c r="C868" s="9"/>
      <c r="D868" s="9"/>
      <c r="E868" s="9"/>
    </row>
    <row r="869">
      <c r="A869" s="27"/>
      <c r="B869" s="28"/>
      <c r="C869" s="9"/>
      <c r="D869" s="9"/>
      <c r="E869" s="9"/>
    </row>
    <row r="870">
      <c r="A870" s="27"/>
      <c r="B870" s="28"/>
      <c r="C870" s="9"/>
      <c r="D870" s="9"/>
      <c r="E870" s="9"/>
    </row>
    <row r="871">
      <c r="A871" s="27"/>
      <c r="B871" s="28"/>
      <c r="C871" s="9"/>
      <c r="D871" s="9"/>
      <c r="E871" s="9"/>
    </row>
    <row r="872">
      <c r="A872" s="27"/>
      <c r="B872" s="28"/>
      <c r="C872" s="9"/>
      <c r="D872" s="9"/>
      <c r="E872" s="9"/>
    </row>
    <row r="873">
      <c r="A873" s="27"/>
      <c r="B873" s="28"/>
      <c r="C873" s="9"/>
      <c r="D873" s="9"/>
      <c r="E873" s="9"/>
    </row>
    <row r="874">
      <c r="A874" s="27"/>
      <c r="B874" s="28"/>
      <c r="C874" s="9"/>
      <c r="D874" s="9"/>
      <c r="E874" s="9"/>
    </row>
    <row r="875">
      <c r="A875" s="27"/>
      <c r="B875" s="28"/>
      <c r="C875" s="9"/>
      <c r="D875" s="9"/>
      <c r="E875" s="9"/>
    </row>
    <row r="876">
      <c r="A876" s="27"/>
      <c r="B876" s="28"/>
      <c r="C876" s="9"/>
      <c r="D876" s="9"/>
      <c r="E876" s="9"/>
    </row>
    <row r="877">
      <c r="A877" s="27"/>
      <c r="B877" s="28"/>
      <c r="C877" s="9"/>
      <c r="D877" s="9"/>
      <c r="E877" s="9"/>
    </row>
    <row r="878">
      <c r="A878" s="27"/>
      <c r="B878" s="28"/>
      <c r="C878" s="9"/>
      <c r="D878" s="9"/>
      <c r="E878" s="9"/>
    </row>
    <row r="879">
      <c r="A879" s="27"/>
      <c r="B879" s="28"/>
      <c r="C879" s="9"/>
      <c r="D879" s="9"/>
      <c r="E879" s="9"/>
    </row>
    <row r="880">
      <c r="A880" s="27"/>
      <c r="B880" s="28"/>
      <c r="C880" s="9"/>
      <c r="D880" s="9"/>
      <c r="E880" s="9"/>
    </row>
    <row r="881">
      <c r="A881" s="27"/>
      <c r="B881" s="28"/>
      <c r="C881" s="9"/>
      <c r="D881" s="9"/>
      <c r="E881" s="9"/>
    </row>
    <row r="882">
      <c r="A882" s="27"/>
      <c r="B882" s="28"/>
      <c r="C882" s="9"/>
      <c r="D882" s="9"/>
      <c r="E882" s="9"/>
    </row>
    <row r="883">
      <c r="A883" s="27"/>
      <c r="B883" s="28"/>
      <c r="C883" s="9"/>
      <c r="D883" s="9"/>
      <c r="E883" s="9"/>
    </row>
    <row r="884">
      <c r="A884" s="27"/>
      <c r="B884" s="28"/>
      <c r="C884" s="9"/>
      <c r="D884" s="9"/>
      <c r="E884" s="9"/>
    </row>
    <row r="885">
      <c r="A885" s="27"/>
      <c r="B885" s="28"/>
      <c r="C885" s="9"/>
      <c r="D885" s="9"/>
      <c r="E885" s="9"/>
    </row>
    <row r="886">
      <c r="A886" s="27"/>
      <c r="B886" s="28"/>
      <c r="C886" s="9"/>
      <c r="D886" s="9"/>
      <c r="E886" s="9"/>
    </row>
    <row r="887">
      <c r="A887" s="27"/>
      <c r="B887" s="28"/>
      <c r="C887" s="9"/>
      <c r="D887" s="9"/>
      <c r="E887" s="9"/>
    </row>
    <row r="888">
      <c r="A888" s="27"/>
      <c r="B888" s="28"/>
      <c r="C888" s="9"/>
      <c r="D888" s="9"/>
      <c r="E888" s="9"/>
    </row>
    <row r="889">
      <c r="A889" s="27"/>
      <c r="B889" s="28"/>
      <c r="C889" s="9"/>
      <c r="D889" s="9"/>
      <c r="E889" s="9"/>
    </row>
    <row r="890">
      <c r="A890" s="27"/>
      <c r="B890" s="28"/>
      <c r="C890" s="9"/>
      <c r="D890" s="9"/>
      <c r="E890" s="9"/>
    </row>
    <row r="891">
      <c r="A891" s="27"/>
      <c r="B891" s="28"/>
      <c r="C891" s="9"/>
      <c r="D891" s="9"/>
      <c r="E891" s="9"/>
    </row>
    <row r="892">
      <c r="A892" s="27"/>
      <c r="B892" s="28"/>
      <c r="C892" s="9"/>
      <c r="D892" s="9"/>
      <c r="E892" s="9"/>
    </row>
    <row r="893">
      <c r="A893" s="27"/>
      <c r="B893" s="28"/>
      <c r="C893" s="9"/>
      <c r="D893" s="9"/>
      <c r="E893" s="9"/>
    </row>
    <row r="894">
      <c r="A894" s="27"/>
      <c r="B894" s="28"/>
      <c r="C894" s="9"/>
      <c r="D894" s="9"/>
      <c r="E894" s="9"/>
    </row>
    <row r="895">
      <c r="A895" s="27"/>
      <c r="B895" s="28"/>
      <c r="C895" s="9"/>
      <c r="D895" s="9"/>
      <c r="E895" s="9"/>
    </row>
    <row r="896">
      <c r="A896" s="27"/>
      <c r="B896" s="28"/>
      <c r="C896" s="9"/>
      <c r="D896" s="9"/>
      <c r="E896" s="9"/>
    </row>
    <row r="897">
      <c r="A897" s="27"/>
      <c r="B897" s="28"/>
      <c r="C897" s="9"/>
      <c r="D897" s="9"/>
      <c r="E897" s="9"/>
    </row>
    <row r="898">
      <c r="A898" s="27"/>
      <c r="B898" s="28"/>
      <c r="C898" s="9"/>
      <c r="D898" s="9"/>
      <c r="E898" s="9"/>
    </row>
    <row r="899">
      <c r="A899" s="27"/>
      <c r="B899" s="28"/>
      <c r="C899" s="9"/>
      <c r="D899" s="9"/>
      <c r="E899" s="9"/>
    </row>
    <row r="900">
      <c r="A900" s="27"/>
      <c r="B900" s="28"/>
      <c r="C900" s="9"/>
      <c r="D900" s="9"/>
      <c r="E900" s="9"/>
    </row>
    <row r="901">
      <c r="A901" s="27"/>
      <c r="B901" s="28"/>
      <c r="C901" s="9"/>
      <c r="D901" s="9"/>
      <c r="E901" s="9"/>
    </row>
    <row r="902">
      <c r="A902" s="27"/>
      <c r="B902" s="28"/>
      <c r="C902" s="9"/>
      <c r="D902" s="9"/>
      <c r="E902" s="9"/>
    </row>
    <row r="903">
      <c r="A903" s="27"/>
      <c r="B903" s="28"/>
      <c r="C903" s="9"/>
      <c r="D903" s="9"/>
      <c r="E903" s="9"/>
    </row>
    <row r="904">
      <c r="A904" s="27"/>
      <c r="B904" s="28"/>
      <c r="C904" s="9"/>
      <c r="D904" s="9"/>
      <c r="E904" s="9"/>
    </row>
    <row r="905">
      <c r="A905" s="27"/>
      <c r="B905" s="28"/>
      <c r="C905" s="9"/>
      <c r="D905" s="9"/>
      <c r="E905" s="9"/>
    </row>
    <row r="906">
      <c r="A906" s="27"/>
      <c r="B906" s="28"/>
      <c r="C906" s="9"/>
      <c r="D906" s="9"/>
      <c r="E906" s="9"/>
    </row>
    <row r="907">
      <c r="A907" s="27"/>
      <c r="B907" s="28"/>
      <c r="C907" s="9"/>
      <c r="D907" s="9"/>
      <c r="E907" s="9"/>
    </row>
    <row r="908">
      <c r="A908" s="27"/>
      <c r="B908" s="28"/>
      <c r="C908" s="9"/>
      <c r="D908" s="9"/>
      <c r="E908" s="9"/>
    </row>
    <row r="909">
      <c r="A909" s="27"/>
      <c r="B909" s="28"/>
      <c r="C909" s="9"/>
      <c r="D909" s="9"/>
      <c r="E909" s="9"/>
    </row>
    <row r="910">
      <c r="A910" s="27"/>
      <c r="B910" s="28"/>
      <c r="C910" s="9"/>
      <c r="D910" s="9"/>
      <c r="E910" s="9"/>
    </row>
    <row r="911">
      <c r="A911" s="27"/>
      <c r="B911" s="28"/>
      <c r="C911" s="9"/>
      <c r="D911" s="9"/>
      <c r="E911" s="9"/>
    </row>
    <row r="912">
      <c r="A912" s="27"/>
      <c r="B912" s="28"/>
      <c r="C912" s="9"/>
      <c r="D912" s="9"/>
      <c r="E912" s="9"/>
    </row>
    <row r="913">
      <c r="A913" s="27"/>
      <c r="B913" s="28"/>
      <c r="C913" s="9"/>
      <c r="D913" s="9"/>
      <c r="E913" s="9"/>
    </row>
    <row r="914">
      <c r="A914" s="27"/>
      <c r="B914" s="28"/>
      <c r="C914" s="9"/>
      <c r="D914" s="9"/>
      <c r="E914" s="9"/>
    </row>
    <row r="915">
      <c r="A915" s="27"/>
      <c r="B915" s="28"/>
      <c r="C915" s="9"/>
      <c r="D915" s="9"/>
      <c r="E915" s="9"/>
    </row>
    <row r="916">
      <c r="A916" s="27"/>
      <c r="B916" s="28"/>
      <c r="C916" s="9"/>
      <c r="D916" s="9"/>
      <c r="E916" s="9"/>
    </row>
    <row r="917">
      <c r="A917" s="27"/>
      <c r="B917" s="28"/>
      <c r="C917" s="9"/>
      <c r="D917" s="9"/>
      <c r="E917" s="9"/>
    </row>
    <row r="918">
      <c r="A918" s="27"/>
      <c r="B918" s="28"/>
      <c r="C918" s="9"/>
      <c r="D918" s="9"/>
      <c r="E918" s="9"/>
    </row>
    <row r="919">
      <c r="A919" s="27"/>
      <c r="B919" s="28"/>
      <c r="C919" s="9"/>
      <c r="D919" s="9"/>
      <c r="E919" s="9"/>
    </row>
    <row r="920">
      <c r="A920" s="27"/>
      <c r="B920" s="28"/>
      <c r="C920" s="9"/>
      <c r="D920" s="9"/>
      <c r="E920" s="9"/>
    </row>
    <row r="921">
      <c r="A921" s="27"/>
      <c r="B921" s="28"/>
      <c r="C921" s="9"/>
      <c r="D921" s="9"/>
      <c r="E921" s="9"/>
    </row>
    <row r="922">
      <c r="A922" s="27"/>
      <c r="B922" s="28"/>
      <c r="C922" s="9"/>
      <c r="D922" s="9"/>
      <c r="E922" s="9"/>
    </row>
    <row r="923">
      <c r="A923" s="27"/>
      <c r="B923" s="28"/>
      <c r="C923" s="9"/>
      <c r="D923" s="9"/>
      <c r="E923" s="9"/>
    </row>
    <row r="924">
      <c r="A924" s="27"/>
      <c r="B924" s="28"/>
      <c r="C924" s="9"/>
      <c r="D924" s="9"/>
      <c r="E924" s="9"/>
    </row>
    <row r="925">
      <c r="A925" s="27"/>
      <c r="B925" s="28"/>
      <c r="C925" s="9"/>
      <c r="D925" s="9"/>
      <c r="E925" s="9"/>
    </row>
    <row r="926">
      <c r="A926" s="27"/>
      <c r="B926" s="28"/>
      <c r="C926" s="9"/>
      <c r="D926" s="9"/>
      <c r="E926" s="9"/>
    </row>
    <row r="927">
      <c r="A927" s="27"/>
      <c r="B927" s="28"/>
      <c r="C927" s="9"/>
      <c r="D927" s="9"/>
      <c r="E927" s="9"/>
    </row>
    <row r="928">
      <c r="A928" s="27"/>
      <c r="B928" s="28"/>
      <c r="C928" s="9"/>
      <c r="D928" s="9"/>
      <c r="E928" s="9"/>
    </row>
    <row r="929">
      <c r="A929" s="27"/>
      <c r="B929" s="28"/>
      <c r="C929" s="9"/>
      <c r="D929" s="9"/>
      <c r="E929" s="9"/>
    </row>
    <row r="930">
      <c r="A930" s="27"/>
      <c r="B930" s="28"/>
      <c r="C930" s="9"/>
      <c r="D930" s="9"/>
      <c r="E930" s="9"/>
    </row>
    <row r="931">
      <c r="A931" s="27"/>
      <c r="B931" s="28"/>
      <c r="C931" s="9"/>
      <c r="D931" s="9"/>
      <c r="E931" s="9"/>
    </row>
    <row r="932">
      <c r="A932" s="27"/>
      <c r="B932" s="28"/>
      <c r="C932" s="9"/>
      <c r="D932" s="9"/>
      <c r="E932" s="9"/>
    </row>
    <row r="933">
      <c r="A933" s="27"/>
      <c r="B933" s="28"/>
      <c r="C933" s="9"/>
      <c r="D933" s="9"/>
      <c r="E933" s="9"/>
    </row>
    <row r="934">
      <c r="A934" s="27"/>
      <c r="B934" s="28"/>
      <c r="C934" s="9"/>
      <c r="D934" s="9"/>
      <c r="E934" s="9"/>
    </row>
    <row r="935">
      <c r="A935" s="27"/>
      <c r="B935" s="28"/>
      <c r="C935" s="9"/>
      <c r="D935" s="9"/>
      <c r="E935" s="9"/>
    </row>
    <row r="936">
      <c r="A936" s="27"/>
      <c r="B936" s="28"/>
      <c r="C936" s="9"/>
      <c r="D936" s="9"/>
      <c r="E936" s="9"/>
    </row>
    <row r="937">
      <c r="A937" s="27"/>
      <c r="B937" s="28"/>
      <c r="C937" s="9"/>
      <c r="D937" s="9"/>
      <c r="E937" s="9"/>
    </row>
    <row r="938">
      <c r="A938" s="27"/>
      <c r="B938" s="28"/>
      <c r="C938" s="9"/>
      <c r="D938" s="9"/>
      <c r="E938" s="9"/>
    </row>
    <row r="939">
      <c r="A939" s="27"/>
      <c r="B939" s="28"/>
      <c r="C939" s="9"/>
      <c r="D939" s="9"/>
      <c r="E939" s="9"/>
    </row>
    <row r="940">
      <c r="A940" s="27"/>
      <c r="B940" s="28"/>
      <c r="C940" s="9"/>
      <c r="D940" s="9"/>
      <c r="E940" s="9"/>
    </row>
    <row r="941">
      <c r="A941" s="27"/>
      <c r="B941" s="28"/>
      <c r="C941" s="9"/>
      <c r="D941" s="9"/>
      <c r="E941" s="9"/>
    </row>
    <row r="942">
      <c r="A942" s="27"/>
      <c r="B942" s="28"/>
      <c r="C942" s="9"/>
      <c r="D942" s="9"/>
      <c r="E942" s="9"/>
    </row>
    <row r="943">
      <c r="A943" s="27"/>
      <c r="B943" s="28"/>
      <c r="C943" s="9"/>
      <c r="D943" s="9"/>
      <c r="E943" s="9"/>
    </row>
    <row r="944">
      <c r="A944" s="27"/>
      <c r="B944" s="28"/>
      <c r="C944" s="9"/>
      <c r="D944" s="9"/>
      <c r="E944" s="9"/>
    </row>
    <row r="945">
      <c r="A945" s="27"/>
      <c r="B945" s="28"/>
      <c r="C945" s="9"/>
      <c r="D945" s="9"/>
      <c r="E945" s="9"/>
    </row>
    <row r="946">
      <c r="A946" s="27"/>
      <c r="B946" s="28"/>
      <c r="C946" s="9"/>
      <c r="D946" s="9"/>
      <c r="E946" s="9"/>
    </row>
    <row r="947">
      <c r="A947" s="27"/>
      <c r="B947" s="28"/>
      <c r="C947" s="9"/>
      <c r="D947" s="9"/>
      <c r="E947" s="9"/>
    </row>
    <row r="948">
      <c r="A948" s="27"/>
      <c r="B948" s="28"/>
      <c r="C948" s="9"/>
      <c r="D948" s="9"/>
      <c r="E948" s="9"/>
    </row>
    <row r="949">
      <c r="A949" s="27"/>
      <c r="B949" s="28"/>
      <c r="C949" s="9"/>
      <c r="D949" s="9"/>
      <c r="E949" s="9"/>
    </row>
    <row r="950">
      <c r="A950" s="27"/>
      <c r="B950" s="28"/>
      <c r="C950" s="9"/>
      <c r="D950" s="9"/>
      <c r="E950" s="9"/>
    </row>
    <row r="951">
      <c r="A951" s="27"/>
      <c r="B951" s="28"/>
      <c r="C951" s="9"/>
      <c r="D951" s="9"/>
      <c r="E951" s="9"/>
    </row>
    <row r="952">
      <c r="A952" s="27"/>
      <c r="B952" s="28"/>
      <c r="C952" s="9"/>
      <c r="D952" s="9"/>
      <c r="E952" s="9"/>
    </row>
    <row r="953">
      <c r="A953" s="27"/>
      <c r="B953" s="28"/>
      <c r="C953" s="9"/>
      <c r="D953" s="9"/>
      <c r="E953" s="9"/>
    </row>
    <row r="954">
      <c r="A954" s="27"/>
      <c r="B954" s="28"/>
      <c r="C954" s="9"/>
      <c r="D954" s="9"/>
      <c r="E954" s="9"/>
    </row>
    <row r="955">
      <c r="A955" s="27"/>
      <c r="B955" s="28"/>
      <c r="C955" s="9"/>
      <c r="D955" s="9"/>
      <c r="E955" s="9"/>
    </row>
    <row r="956">
      <c r="A956" s="27"/>
      <c r="B956" s="28"/>
      <c r="C956" s="9"/>
      <c r="D956" s="9"/>
      <c r="E956" s="9"/>
    </row>
    <row r="957">
      <c r="A957" s="27"/>
      <c r="B957" s="28"/>
      <c r="C957" s="9"/>
      <c r="D957" s="9"/>
      <c r="E957" s="9"/>
    </row>
    <row r="958">
      <c r="A958" s="27"/>
      <c r="B958" s="28"/>
      <c r="C958" s="9"/>
      <c r="D958" s="9"/>
      <c r="E958" s="9"/>
    </row>
    <row r="959">
      <c r="A959" s="27"/>
      <c r="B959" s="28"/>
      <c r="C959" s="9"/>
      <c r="D959" s="9"/>
      <c r="E959" s="9"/>
    </row>
    <row r="960">
      <c r="A960" s="27"/>
      <c r="B960" s="28"/>
      <c r="C960" s="9"/>
      <c r="D960" s="9"/>
      <c r="E960" s="9"/>
    </row>
    <row r="961">
      <c r="A961" s="27"/>
      <c r="B961" s="28"/>
      <c r="C961" s="9"/>
      <c r="D961" s="9"/>
      <c r="E961" s="9"/>
    </row>
    <row r="962">
      <c r="A962" s="27"/>
      <c r="B962" s="28"/>
      <c r="C962" s="9"/>
      <c r="D962" s="9"/>
      <c r="E962" s="9"/>
    </row>
    <row r="963">
      <c r="A963" s="27"/>
      <c r="B963" s="28"/>
      <c r="C963" s="9"/>
      <c r="D963" s="9"/>
      <c r="E963" s="9"/>
    </row>
    <row r="964">
      <c r="A964" s="27"/>
      <c r="B964" s="28"/>
      <c r="C964" s="9"/>
      <c r="D964" s="9"/>
      <c r="E964" s="9"/>
    </row>
    <row r="965">
      <c r="A965" s="27"/>
      <c r="B965" s="28"/>
      <c r="C965" s="9"/>
      <c r="D965" s="9"/>
      <c r="E965" s="9"/>
    </row>
    <row r="966">
      <c r="A966" s="27"/>
      <c r="B966" s="28"/>
      <c r="C966" s="9"/>
      <c r="D966" s="9"/>
      <c r="E966" s="9"/>
    </row>
    <row r="967">
      <c r="A967" s="27"/>
      <c r="B967" s="28"/>
      <c r="C967" s="9"/>
      <c r="D967" s="9"/>
      <c r="E967" s="9"/>
    </row>
    <row r="968">
      <c r="A968" s="27"/>
      <c r="B968" s="28"/>
      <c r="C968" s="9"/>
      <c r="D968" s="9"/>
      <c r="E968" s="9"/>
    </row>
    <row r="969">
      <c r="A969" s="27"/>
      <c r="B969" s="28"/>
      <c r="C969" s="9"/>
      <c r="D969" s="9"/>
      <c r="E969" s="9"/>
    </row>
    <row r="970">
      <c r="A970" s="27"/>
      <c r="B970" s="28"/>
      <c r="C970" s="9"/>
      <c r="D970" s="9"/>
      <c r="E970" s="9"/>
    </row>
    <row r="971">
      <c r="A971" s="27"/>
      <c r="B971" s="28"/>
      <c r="C971" s="9"/>
      <c r="D971" s="9"/>
      <c r="E971" s="9"/>
    </row>
    <row r="972">
      <c r="A972" s="27"/>
      <c r="B972" s="28"/>
      <c r="C972" s="9"/>
      <c r="D972" s="9"/>
      <c r="E972" s="9"/>
    </row>
    <row r="973">
      <c r="A973" s="27"/>
      <c r="B973" s="28"/>
      <c r="C973" s="9"/>
      <c r="D973" s="9"/>
      <c r="E973" s="9"/>
    </row>
    <row r="974">
      <c r="A974" s="27"/>
      <c r="B974" s="28"/>
      <c r="C974" s="9"/>
      <c r="D974" s="9"/>
      <c r="E974" s="9"/>
    </row>
    <row r="975">
      <c r="A975" s="27"/>
      <c r="B975" s="28"/>
      <c r="C975" s="9"/>
      <c r="D975" s="9"/>
      <c r="E975" s="9"/>
    </row>
    <row r="976">
      <c r="A976" s="27"/>
      <c r="B976" s="28"/>
      <c r="C976" s="9"/>
      <c r="D976" s="9"/>
      <c r="E976" s="9"/>
    </row>
    <row r="977">
      <c r="A977" s="27"/>
      <c r="B977" s="28"/>
      <c r="C977" s="9"/>
      <c r="D977" s="9"/>
      <c r="E977" s="9"/>
    </row>
    <row r="978">
      <c r="A978" s="27"/>
      <c r="B978" s="28"/>
      <c r="C978" s="9"/>
      <c r="D978" s="9"/>
      <c r="E978" s="9"/>
    </row>
    <row r="979">
      <c r="A979" s="27"/>
      <c r="B979" s="28"/>
      <c r="C979" s="9"/>
      <c r="D979" s="9"/>
      <c r="E979" s="9"/>
    </row>
    <row r="980">
      <c r="A980" s="27"/>
      <c r="B980" s="28"/>
      <c r="C980" s="9"/>
      <c r="D980" s="9"/>
      <c r="E980" s="9"/>
    </row>
    <row r="981">
      <c r="A981" s="27"/>
      <c r="B981" s="28"/>
      <c r="C981" s="9"/>
      <c r="D981" s="9"/>
      <c r="E981" s="9"/>
    </row>
    <row r="982">
      <c r="A982" s="27"/>
      <c r="B982" s="28"/>
      <c r="C982" s="9"/>
      <c r="D982" s="9"/>
      <c r="E982" s="9"/>
    </row>
    <row r="983">
      <c r="A983" s="27"/>
      <c r="B983" s="28"/>
      <c r="C983" s="9"/>
      <c r="D983" s="9"/>
      <c r="E983" s="9"/>
    </row>
    <row r="984">
      <c r="A984" s="27"/>
      <c r="B984" s="28"/>
      <c r="C984" s="9"/>
      <c r="D984" s="9"/>
      <c r="E984" s="9"/>
    </row>
    <row r="985">
      <c r="A985" s="27"/>
      <c r="B985" s="28"/>
      <c r="C985" s="9"/>
      <c r="D985" s="9"/>
      <c r="E985" s="9"/>
    </row>
    <row r="986">
      <c r="A986" s="27"/>
      <c r="B986" s="28"/>
      <c r="C986" s="9"/>
      <c r="D986" s="9"/>
      <c r="E986" s="9"/>
    </row>
    <row r="987">
      <c r="A987" s="27"/>
      <c r="B987" s="28"/>
      <c r="C987" s="9"/>
      <c r="D987" s="9"/>
      <c r="E987" s="9"/>
    </row>
    <row r="988">
      <c r="A988" s="27"/>
      <c r="B988" s="28"/>
      <c r="C988" s="9"/>
      <c r="D988" s="9"/>
      <c r="E988" s="9"/>
    </row>
    <row r="989">
      <c r="A989" s="27"/>
      <c r="B989" s="28"/>
      <c r="C989" s="9"/>
      <c r="D989" s="9"/>
      <c r="E989" s="9"/>
    </row>
    <row r="990">
      <c r="A990" s="27"/>
      <c r="B990" s="28"/>
      <c r="C990" s="9"/>
      <c r="D990" s="9"/>
      <c r="E990" s="9"/>
    </row>
    <row r="991">
      <c r="A991" s="27"/>
      <c r="B991" s="28"/>
      <c r="C991" s="9"/>
      <c r="D991" s="9"/>
      <c r="E991" s="9"/>
    </row>
    <row r="992">
      <c r="A992" s="27"/>
      <c r="B992" s="28"/>
      <c r="C992" s="9"/>
      <c r="D992" s="9"/>
      <c r="E992" s="9"/>
    </row>
    <row r="993">
      <c r="A993" s="27"/>
      <c r="B993" s="28"/>
      <c r="C993" s="9"/>
      <c r="D993" s="9"/>
      <c r="E993" s="9"/>
    </row>
    <row r="994">
      <c r="A994" s="27"/>
      <c r="B994" s="28"/>
      <c r="C994" s="9"/>
      <c r="D994" s="9"/>
      <c r="E994" s="9"/>
    </row>
    <row r="995">
      <c r="A995" s="27"/>
      <c r="B995" s="28"/>
      <c r="C995" s="9"/>
      <c r="D995" s="9"/>
      <c r="E995" s="9"/>
    </row>
    <row r="996">
      <c r="A996" s="27"/>
      <c r="B996" s="28"/>
      <c r="C996" s="9"/>
      <c r="D996" s="9"/>
      <c r="E996" s="9"/>
    </row>
    <row r="997">
      <c r="A997" s="27"/>
      <c r="B997" s="28"/>
      <c r="C997" s="9"/>
      <c r="D997" s="9"/>
      <c r="E997" s="9"/>
    </row>
    <row r="998">
      <c r="A998" s="27"/>
      <c r="B998" s="28"/>
      <c r="C998" s="9"/>
      <c r="D998" s="9"/>
      <c r="E998" s="9"/>
    </row>
    <row r="999">
      <c r="A999" s="27"/>
      <c r="B999" s="28"/>
      <c r="C999" s="9"/>
      <c r="D999" s="9"/>
      <c r="E999" s="9"/>
    </row>
    <row r="1000">
      <c r="A1000" s="27"/>
      <c r="B1000" s="28"/>
      <c r="C1000" s="9"/>
      <c r="D1000" s="9"/>
      <c r="E1000" s="9"/>
    </row>
    <row r="1001">
      <c r="A1001" s="27"/>
      <c r="B1001" s="28"/>
      <c r="C1001" s="9"/>
      <c r="D1001" s="9"/>
      <c r="E1001" s="9"/>
    </row>
    <row r="1002">
      <c r="A1002" s="27"/>
      <c r="B1002" s="28"/>
      <c r="C1002" s="9"/>
      <c r="D1002" s="9"/>
      <c r="E1002" s="9"/>
    </row>
    <row r="1003">
      <c r="A1003" s="27"/>
      <c r="B1003" s="28"/>
      <c r="C1003" s="9"/>
      <c r="D1003" s="9"/>
      <c r="E1003" s="9"/>
    </row>
    <row r="1004">
      <c r="A1004" s="27"/>
      <c r="B1004" s="28"/>
      <c r="C1004" s="9"/>
      <c r="D1004" s="9"/>
      <c r="E1004" s="9"/>
    </row>
    <row r="1005">
      <c r="A1005" s="27"/>
      <c r="B1005" s="28"/>
      <c r="C1005" s="9"/>
      <c r="D1005" s="9"/>
      <c r="E1005" s="9"/>
    </row>
    <row r="1006">
      <c r="A1006" s="27"/>
      <c r="B1006" s="28"/>
      <c r="C1006" s="9"/>
      <c r="D1006" s="9"/>
      <c r="E1006" s="9"/>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2" t="s">
        <v>3</v>
      </c>
      <c r="B1" s="7" t="s">
        <v>49</v>
      </c>
    </row>
    <row r="2">
      <c r="A2" s="21">
        <v>91466.0</v>
      </c>
      <c r="B2" s="29">
        <f>AVERAGE(A2:A14)</f>
        <v>98566.23077</v>
      </c>
    </row>
    <row r="3">
      <c r="A3" s="21">
        <v>92949.0</v>
      </c>
    </row>
    <row r="4">
      <c r="A4" s="14">
        <v>92094.0</v>
      </c>
    </row>
    <row r="5">
      <c r="A5" s="23">
        <v>94177.0</v>
      </c>
    </row>
    <row r="6">
      <c r="A6" s="23">
        <v>95549.0</v>
      </c>
    </row>
    <row r="7">
      <c r="A7" s="23">
        <v>94398.0</v>
      </c>
    </row>
    <row r="8">
      <c r="A8" s="23">
        <v>99697.0</v>
      </c>
    </row>
    <row r="9">
      <c r="A9" s="23">
        <v>101663.0</v>
      </c>
    </row>
    <row r="10">
      <c r="A10" s="23">
        <v>102997.0</v>
      </c>
    </row>
    <row r="11">
      <c r="A11" s="23">
        <v>105997.0</v>
      </c>
    </row>
    <row r="12">
      <c r="A12" s="23">
        <v>104720.0</v>
      </c>
    </row>
    <row r="13">
      <c r="A13" s="23">
        <v>102282.0</v>
      </c>
    </row>
    <row r="14">
      <c r="A14" s="23">
        <v>103372.0</v>
      </c>
    </row>
    <row r="15">
      <c r="A15" s="41"/>
    </row>
    <row r="16">
      <c r="A16" s="41"/>
    </row>
    <row r="17">
      <c r="A17" s="42"/>
    </row>
    <row r="18">
      <c r="A18" s="42"/>
    </row>
    <row r="19">
      <c r="A19" s="42"/>
    </row>
    <row r="20">
      <c r="A20" s="42"/>
    </row>
    <row r="21">
      <c r="A21" s="42"/>
    </row>
    <row r="22">
      <c r="A22" s="42"/>
    </row>
    <row r="23">
      <c r="A23" s="42"/>
    </row>
    <row r="24">
      <c r="A24" s="42"/>
    </row>
    <row r="25">
      <c r="A25" s="42"/>
    </row>
    <row r="26">
      <c r="A26" s="42"/>
    </row>
    <row r="27">
      <c r="A27" s="42"/>
    </row>
    <row r="28">
      <c r="A28" s="42"/>
    </row>
    <row r="29">
      <c r="A29" s="42"/>
    </row>
    <row r="30">
      <c r="A30" s="42"/>
    </row>
    <row r="31">
      <c r="A31" s="42"/>
    </row>
    <row r="32">
      <c r="A32" s="42"/>
    </row>
    <row r="33">
      <c r="A33" s="42"/>
    </row>
    <row r="34">
      <c r="A34" s="42"/>
    </row>
    <row r="35">
      <c r="A35" s="42"/>
    </row>
    <row r="36">
      <c r="A36" s="42"/>
    </row>
    <row r="37">
      <c r="A37" s="42"/>
    </row>
    <row r="38">
      <c r="A38" s="42"/>
    </row>
    <row r="39">
      <c r="A39" s="42"/>
    </row>
    <row r="40">
      <c r="A40" s="42"/>
    </row>
    <row r="41">
      <c r="A41" s="42"/>
    </row>
    <row r="42">
      <c r="A42" s="42"/>
    </row>
    <row r="43">
      <c r="A43" s="42"/>
    </row>
    <row r="44">
      <c r="A44" s="42"/>
    </row>
    <row r="45">
      <c r="A45" s="42"/>
    </row>
    <row r="46">
      <c r="A46" s="42"/>
    </row>
    <row r="47">
      <c r="A47" s="42"/>
    </row>
    <row r="48">
      <c r="A48" s="42"/>
    </row>
    <row r="49">
      <c r="A49" s="42"/>
    </row>
    <row r="50">
      <c r="A50" s="42"/>
    </row>
    <row r="51">
      <c r="A51" s="42"/>
    </row>
    <row r="52">
      <c r="A52" s="42"/>
    </row>
    <row r="53">
      <c r="A53" s="42"/>
    </row>
    <row r="54">
      <c r="A54" s="42"/>
    </row>
    <row r="55">
      <c r="A55" s="42"/>
    </row>
    <row r="56">
      <c r="A56" s="42"/>
    </row>
    <row r="57">
      <c r="A57" s="42"/>
    </row>
    <row r="58">
      <c r="A58" s="42"/>
    </row>
    <row r="59">
      <c r="A59" s="42"/>
    </row>
    <row r="60">
      <c r="A60" s="42"/>
    </row>
    <row r="61">
      <c r="A61" s="42"/>
    </row>
    <row r="62">
      <c r="A62" s="42"/>
    </row>
    <row r="63">
      <c r="A63" s="42"/>
    </row>
    <row r="64">
      <c r="A64" s="42"/>
    </row>
    <row r="65">
      <c r="A65" s="42"/>
    </row>
    <row r="66">
      <c r="A66" s="42"/>
    </row>
    <row r="67">
      <c r="A67" s="42"/>
    </row>
    <row r="68">
      <c r="A68" s="42"/>
    </row>
    <row r="69">
      <c r="A69" s="42"/>
    </row>
    <row r="70">
      <c r="A70" s="42"/>
    </row>
    <row r="71">
      <c r="A71" s="42"/>
    </row>
    <row r="72">
      <c r="A72" s="42"/>
    </row>
    <row r="73">
      <c r="A73" s="42"/>
    </row>
    <row r="74">
      <c r="A74" s="42"/>
    </row>
    <row r="75">
      <c r="A75" s="42"/>
    </row>
    <row r="76">
      <c r="A76" s="42"/>
    </row>
    <row r="77">
      <c r="A77" s="42"/>
    </row>
    <row r="78">
      <c r="A78" s="42"/>
    </row>
    <row r="79">
      <c r="A79" s="42"/>
    </row>
    <row r="80">
      <c r="A80" s="42"/>
    </row>
    <row r="81">
      <c r="A81" s="42"/>
    </row>
    <row r="82">
      <c r="A82" s="42"/>
    </row>
    <row r="83">
      <c r="A83" s="42"/>
    </row>
    <row r="84">
      <c r="A84" s="42"/>
    </row>
    <row r="85">
      <c r="A85" s="42"/>
    </row>
    <row r="86">
      <c r="A86" s="42"/>
    </row>
    <row r="87">
      <c r="A87" s="42"/>
    </row>
    <row r="88">
      <c r="A88" s="42"/>
    </row>
    <row r="89">
      <c r="A89" s="42"/>
    </row>
    <row r="90">
      <c r="A90" s="42"/>
    </row>
    <row r="91">
      <c r="A91" s="42"/>
    </row>
    <row r="92">
      <c r="A92" s="42"/>
    </row>
    <row r="93">
      <c r="A93" s="42"/>
    </row>
    <row r="94">
      <c r="A94" s="42"/>
    </row>
    <row r="95">
      <c r="A95" s="42"/>
    </row>
    <row r="96">
      <c r="A96" s="42"/>
    </row>
    <row r="97">
      <c r="A97" s="42"/>
    </row>
    <row r="98">
      <c r="A98" s="42"/>
    </row>
    <row r="99">
      <c r="A99" s="42"/>
    </row>
    <row r="100">
      <c r="A100" s="42"/>
    </row>
    <row r="101">
      <c r="A101" s="42"/>
    </row>
    <row r="102">
      <c r="A102" s="42"/>
    </row>
    <row r="103">
      <c r="A103" s="42"/>
    </row>
    <row r="104">
      <c r="A104" s="42"/>
    </row>
    <row r="105">
      <c r="A105" s="42"/>
    </row>
    <row r="106">
      <c r="A106" s="42"/>
    </row>
    <row r="107">
      <c r="A107" s="42"/>
    </row>
    <row r="108">
      <c r="A108" s="42"/>
    </row>
    <row r="109">
      <c r="A109" s="42"/>
    </row>
    <row r="110">
      <c r="A110" s="42"/>
    </row>
    <row r="111">
      <c r="A111" s="42"/>
    </row>
    <row r="112">
      <c r="A112" s="42"/>
    </row>
    <row r="113">
      <c r="A113" s="42"/>
    </row>
    <row r="114">
      <c r="A114" s="42"/>
    </row>
    <row r="115">
      <c r="A115" s="42"/>
    </row>
    <row r="116">
      <c r="A116" s="42"/>
    </row>
    <row r="117">
      <c r="A117" s="42"/>
    </row>
    <row r="118">
      <c r="A118" s="42"/>
    </row>
    <row r="119">
      <c r="A119" s="42"/>
    </row>
    <row r="120">
      <c r="A120" s="42"/>
    </row>
    <row r="121">
      <c r="A121" s="42"/>
    </row>
    <row r="122">
      <c r="A122" s="42"/>
    </row>
    <row r="123">
      <c r="A123" s="42"/>
    </row>
    <row r="124">
      <c r="A124" s="42"/>
    </row>
    <row r="125">
      <c r="A125" s="42"/>
    </row>
    <row r="126">
      <c r="A126" s="42"/>
    </row>
    <row r="127">
      <c r="A127" s="42"/>
    </row>
    <row r="128">
      <c r="A128" s="42"/>
    </row>
    <row r="129">
      <c r="A129" s="42"/>
    </row>
    <row r="130">
      <c r="A130" s="42"/>
    </row>
    <row r="131">
      <c r="A131" s="42"/>
    </row>
    <row r="132">
      <c r="A132" s="42"/>
    </row>
    <row r="133">
      <c r="A133" s="42"/>
    </row>
    <row r="134">
      <c r="A134" s="42"/>
    </row>
    <row r="135">
      <c r="A135" s="42"/>
    </row>
    <row r="136">
      <c r="A136" s="42"/>
    </row>
    <row r="137">
      <c r="A137" s="42"/>
    </row>
    <row r="138">
      <c r="A138" s="42"/>
    </row>
    <row r="139">
      <c r="A139" s="42"/>
    </row>
    <row r="140">
      <c r="A140" s="42"/>
    </row>
    <row r="141">
      <c r="A141" s="42"/>
    </row>
    <row r="142">
      <c r="A142" s="42"/>
    </row>
    <row r="143">
      <c r="A143" s="42"/>
    </row>
    <row r="144">
      <c r="A144" s="42"/>
    </row>
    <row r="145">
      <c r="A145" s="42"/>
    </row>
    <row r="146">
      <c r="A146" s="42"/>
    </row>
    <row r="147">
      <c r="A147" s="42"/>
    </row>
    <row r="148">
      <c r="A148" s="42"/>
    </row>
    <row r="149">
      <c r="A149" s="42"/>
    </row>
    <row r="150">
      <c r="A150" s="42"/>
    </row>
    <row r="151">
      <c r="A151" s="42"/>
    </row>
    <row r="152">
      <c r="A152" s="42"/>
    </row>
    <row r="153">
      <c r="A153" s="42"/>
    </row>
    <row r="154">
      <c r="A154" s="42"/>
    </row>
    <row r="155">
      <c r="A155" s="42"/>
    </row>
    <row r="156">
      <c r="A156" s="42"/>
    </row>
    <row r="157">
      <c r="A157" s="42"/>
    </row>
    <row r="158">
      <c r="A158" s="42"/>
    </row>
    <row r="159">
      <c r="A159" s="42"/>
    </row>
    <row r="160">
      <c r="A160" s="42"/>
    </row>
    <row r="161">
      <c r="A161" s="42"/>
    </row>
    <row r="162">
      <c r="A162" s="42"/>
    </row>
    <row r="163">
      <c r="A163" s="42"/>
    </row>
    <row r="164">
      <c r="A164" s="42"/>
    </row>
    <row r="165">
      <c r="A165" s="42"/>
    </row>
    <row r="166">
      <c r="A166" s="42"/>
    </row>
    <row r="167">
      <c r="A167" s="42"/>
    </row>
    <row r="168">
      <c r="A168" s="42"/>
    </row>
    <row r="169">
      <c r="A169" s="42"/>
    </row>
    <row r="170">
      <c r="A170" s="42"/>
    </row>
    <row r="171">
      <c r="A171" s="42"/>
    </row>
    <row r="172">
      <c r="A172" s="42"/>
    </row>
    <row r="173">
      <c r="A173" s="42"/>
    </row>
    <row r="174">
      <c r="A174" s="42"/>
    </row>
    <row r="175">
      <c r="A175" s="42"/>
    </row>
    <row r="176">
      <c r="A176" s="42"/>
    </row>
    <row r="177">
      <c r="A177" s="42"/>
    </row>
    <row r="178">
      <c r="A178" s="42"/>
    </row>
    <row r="179">
      <c r="A179" s="42"/>
    </row>
    <row r="180">
      <c r="A180" s="42"/>
    </row>
    <row r="181">
      <c r="A181" s="42"/>
    </row>
    <row r="182">
      <c r="A182" s="42"/>
    </row>
    <row r="183">
      <c r="A183" s="42"/>
    </row>
    <row r="184">
      <c r="A184" s="42"/>
    </row>
    <row r="185">
      <c r="A185" s="42"/>
    </row>
    <row r="186">
      <c r="A186" s="42"/>
    </row>
    <row r="187">
      <c r="A187" s="42"/>
    </row>
    <row r="188">
      <c r="A188" s="42"/>
    </row>
    <row r="189">
      <c r="A189" s="42"/>
    </row>
    <row r="190">
      <c r="A190" s="42"/>
    </row>
    <row r="191">
      <c r="A191" s="42"/>
    </row>
    <row r="192">
      <c r="A192" s="42"/>
    </row>
    <row r="193">
      <c r="A193" s="42"/>
    </row>
    <row r="194">
      <c r="A194" s="42"/>
    </row>
    <row r="195">
      <c r="A195" s="42"/>
    </row>
    <row r="196">
      <c r="A196" s="42"/>
    </row>
    <row r="197">
      <c r="A197" s="42"/>
    </row>
    <row r="198">
      <c r="A198" s="42"/>
    </row>
    <row r="199">
      <c r="A199" s="42"/>
    </row>
    <row r="200">
      <c r="A200" s="42"/>
    </row>
    <row r="201">
      <c r="A201" s="42"/>
    </row>
    <row r="202">
      <c r="A202" s="42"/>
    </row>
    <row r="203">
      <c r="A203" s="42"/>
    </row>
    <row r="204">
      <c r="A204" s="42"/>
    </row>
    <row r="205">
      <c r="A205" s="42"/>
    </row>
    <row r="206">
      <c r="A206" s="42"/>
    </row>
    <row r="207">
      <c r="A207" s="42"/>
    </row>
    <row r="208">
      <c r="A208" s="42"/>
    </row>
    <row r="209">
      <c r="A209" s="42"/>
    </row>
    <row r="210">
      <c r="A210" s="42"/>
    </row>
    <row r="211">
      <c r="A211" s="42"/>
    </row>
    <row r="212">
      <c r="A212" s="42"/>
    </row>
    <row r="213">
      <c r="A213" s="42"/>
    </row>
    <row r="214">
      <c r="A214" s="42"/>
    </row>
    <row r="215">
      <c r="A215" s="42"/>
    </row>
    <row r="216">
      <c r="A216" s="42"/>
    </row>
    <row r="217">
      <c r="A217" s="42"/>
    </row>
    <row r="218">
      <c r="A218" s="42"/>
    </row>
    <row r="219">
      <c r="A219" s="42"/>
    </row>
    <row r="220">
      <c r="A220" s="42"/>
    </row>
    <row r="221">
      <c r="A221" s="42"/>
    </row>
    <row r="222">
      <c r="A222" s="42"/>
    </row>
    <row r="223">
      <c r="A223" s="42"/>
    </row>
    <row r="224">
      <c r="A224" s="42"/>
    </row>
    <row r="225">
      <c r="A225" s="42"/>
    </row>
    <row r="226">
      <c r="A226" s="42"/>
    </row>
    <row r="227">
      <c r="A227" s="42"/>
    </row>
    <row r="228">
      <c r="A228" s="42"/>
    </row>
    <row r="229">
      <c r="A229" s="42"/>
    </row>
    <row r="230">
      <c r="A230" s="42"/>
    </row>
    <row r="231">
      <c r="A231" s="42"/>
    </row>
    <row r="232">
      <c r="A232" s="42"/>
    </row>
    <row r="233">
      <c r="A233" s="42"/>
    </row>
    <row r="234">
      <c r="A234" s="42"/>
    </row>
    <row r="235">
      <c r="A235" s="42"/>
    </row>
    <row r="236">
      <c r="A236" s="42"/>
    </row>
    <row r="237">
      <c r="A237" s="42"/>
    </row>
    <row r="238">
      <c r="A238" s="42"/>
    </row>
    <row r="239">
      <c r="A239" s="42"/>
    </row>
    <row r="240">
      <c r="A240" s="42"/>
    </row>
    <row r="241">
      <c r="A241" s="42"/>
    </row>
    <row r="242">
      <c r="A242" s="42"/>
    </row>
    <row r="243">
      <c r="A243" s="42"/>
    </row>
    <row r="244">
      <c r="A244" s="42"/>
    </row>
    <row r="245">
      <c r="A245" s="42"/>
    </row>
    <row r="246">
      <c r="A246" s="42"/>
    </row>
    <row r="247">
      <c r="A247" s="42"/>
    </row>
    <row r="248">
      <c r="A248" s="42"/>
    </row>
    <row r="249">
      <c r="A249" s="42"/>
    </row>
    <row r="250">
      <c r="A250" s="42"/>
    </row>
    <row r="251">
      <c r="A251" s="42"/>
    </row>
    <row r="252">
      <c r="A252" s="42"/>
    </row>
    <row r="253">
      <c r="A253" s="42"/>
    </row>
    <row r="254">
      <c r="A254" s="42"/>
    </row>
    <row r="255">
      <c r="A255" s="42"/>
    </row>
    <row r="256">
      <c r="A256" s="42"/>
    </row>
    <row r="257">
      <c r="A257" s="42"/>
    </row>
    <row r="258">
      <c r="A258" s="42"/>
    </row>
    <row r="259">
      <c r="A259" s="42"/>
    </row>
    <row r="260">
      <c r="A260" s="42"/>
    </row>
    <row r="261">
      <c r="A261" s="42"/>
    </row>
    <row r="262">
      <c r="A262" s="42"/>
    </row>
    <row r="263">
      <c r="A263" s="42"/>
    </row>
    <row r="264">
      <c r="A264" s="42"/>
    </row>
    <row r="265">
      <c r="A265" s="42"/>
    </row>
    <row r="266">
      <c r="A266" s="42"/>
    </row>
    <row r="267">
      <c r="A267" s="42"/>
    </row>
    <row r="268">
      <c r="A268" s="42"/>
    </row>
    <row r="269">
      <c r="A269" s="42"/>
    </row>
    <row r="270">
      <c r="A270" s="42"/>
    </row>
    <row r="271">
      <c r="A271" s="42"/>
    </row>
    <row r="272">
      <c r="A272" s="42"/>
    </row>
    <row r="273">
      <c r="A273" s="42"/>
    </row>
    <row r="274">
      <c r="A274" s="42"/>
    </row>
    <row r="275">
      <c r="A275" s="42"/>
    </row>
    <row r="276">
      <c r="A276" s="42"/>
    </row>
    <row r="277">
      <c r="A277" s="42"/>
    </row>
    <row r="278">
      <c r="A278" s="42"/>
    </row>
    <row r="279">
      <c r="A279" s="42"/>
    </row>
    <row r="280">
      <c r="A280" s="42"/>
    </row>
    <row r="281">
      <c r="A281" s="42"/>
    </row>
    <row r="282">
      <c r="A282" s="42"/>
    </row>
    <row r="283">
      <c r="A283" s="42"/>
    </row>
    <row r="284">
      <c r="A284" s="42"/>
    </row>
    <row r="285">
      <c r="A285" s="42"/>
    </row>
    <row r="286">
      <c r="A286" s="42"/>
    </row>
    <row r="287">
      <c r="A287" s="42"/>
    </row>
    <row r="288">
      <c r="A288" s="42"/>
    </row>
    <row r="289">
      <c r="A289" s="42"/>
    </row>
    <row r="290">
      <c r="A290" s="42"/>
    </row>
    <row r="291">
      <c r="A291" s="42"/>
    </row>
    <row r="292">
      <c r="A292" s="42"/>
    </row>
    <row r="293">
      <c r="A293" s="42"/>
    </row>
    <row r="294">
      <c r="A294" s="42"/>
    </row>
    <row r="295">
      <c r="A295" s="42"/>
    </row>
    <row r="296">
      <c r="A296" s="42"/>
    </row>
    <row r="297">
      <c r="A297" s="42"/>
    </row>
    <row r="298">
      <c r="A298" s="42"/>
    </row>
    <row r="299">
      <c r="A299" s="42"/>
    </row>
    <row r="300">
      <c r="A300" s="42"/>
    </row>
    <row r="301">
      <c r="A301" s="42"/>
    </row>
    <row r="302">
      <c r="A302" s="42"/>
    </row>
    <row r="303">
      <c r="A303" s="42"/>
    </row>
    <row r="304">
      <c r="A304" s="42"/>
    </row>
    <row r="305">
      <c r="A305" s="42"/>
    </row>
    <row r="306">
      <c r="A306" s="42"/>
    </row>
    <row r="307">
      <c r="A307" s="42"/>
    </row>
    <row r="308">
      <c r="A308" s="42"/>
    </row>
    <row r="309">
      <c r="A309" s="42"/>
    </row>
    <row r="310">
      <c r="A310" s="42"/>
    </row>
    <row r="311">
      <c r="A311" s="42"/>
    </row>
    <row r="312">
      <c r="A312" s="42"/>
    </row>
    <row r="313">
      <c r="A313" s="42"/>
    </row>
    <row r="314">
      <c r="A314" s="42"/>
    </row>
    <row r="315">
      <c r="A315" s="42"/>
    </row>
    <row r="316">
      <c r="A316" s="42"/>
    </row>
    <row r="317">
      <c r="A317" s="42"/>
    </row>
    <row r="318">
      <c r="A318" s="42"/>
    </row>
    <row r="319">
      <c r="A319" s="42"/>
    </row>
    <row r="320">
      <c r="A320" s="42"/>
    </row>
    <row r="321">
      <c r="A321" s="42"/>
    </row>
    <row r="322">
      <c r="A322" s="42"/>
    </row>
    <row r="323">
      <c r="A323" s="42"/>
    </row>
    <row r="324">
      <c r="A324" s="42"/>
    </row>
    <row r="325">
      <c r="A325" s="42"/>
    </row>
    <row r="326">
      <c r="A326" s="42"/>
    </row>
    <row r="327">
      <c r="A327" s="42"/>
    </row>
    <row r="328">
      <c r="A328" s="42"/>
    </row>
    <row r="329">
      <c r="A329" s="42"/>
    </row>
    <row r="330">
      <c r="A330" s="42"/>
    </row>
    <row r="331">
      <c r="A331" s="42"/>
    </row>
    <row r="332">
      <c r="A332" s="42"/>
    </row>
    <row r="333">
      <c r="A333" s="42"/>
    </row>
    <row r="334">
      <c r="A334" s="42"/>
    </row>
    <row r="335">
      <c r="A335" s="42"/>
    </row>
    <row r="336">
      <c r="A336" s="42"/>
    </row>
    <row r="337">
      <c r="A337" s="42"/>
    </row>
    <row r="338">
      <c r="A338" s="42"/>
    </row>
    <row r="339">
      <c r="A339" s="42"/>
    </row>
    <row r="340">
      <c r="A340" s="42"/>
    </row>
    <row r="341">
      <c r="A341" s="42"/>
    </row>
    <row r="342">
      <c r="A342" s="42"/>
    </row>
    <row r="343">
      <c r="A343" s="42"/>
    </row>
    <row r="344">
      <c r="A344" s="42"/>
    </row>
    <row r="345">
      <c r="A345" s="42"/>
    </row>
    <row r="346">
      <c r="A346" s="42"/>
    </row>
    <row r="347">
      <c r="A347" s="42"/>
    </row>
    <row r="348">
      <c r="A348" s="42"/>
    </row>
    <row r="349">
      <c r="A349" s="42"/>
    </row>
    <row r="350">
      <c r="A350" s="42"/>
    </row>
    <row r="351">
      <c r="A351" s="42"/>
    </row>
    <row r="352">
      <c r="A352" s="42"/>
    </row>
    <row r="353">
      <c r="A353" s="42"/>
    </row>
    <row r="354">
      <c r="A354" s="42"/>
    </row>
    <row r="355">
      <c r="A355" s="42"/>
    </row>
    <row r="356">
      <c r="A356" s="42"/>
    </row>
    <row r="357">
      <c r="A357" s="42"/>
    </row>
    <row r="358">
      <c r="A358" s="42"/>
    </row>
    <row r="359">
      <c r="A359" s="42"/>
    </row>
    <row r="360">
      <c r="A360" s="42"/>
    </row>
    <row r="361">
      <c r="A361" s="42"/>
    </row>
    <row r="362">
      <c r="A362" s="42"/>
    </row>
    <row r="363">
      <c r="A363" s="42"/>
    </row>
    <row r="364">
      <c r="A364" s="42"/>
    </row>
    <row r="365">
      <c r="A365" s="42"/>
    </row>
    <row r="366">
      <c r="A366" s="42"/>
    </row>
    <row r="367">
      <c r="A367" s="42"/>
    </row>
    <row r="368">
      <c r="A368" s="42"/>
    </row>
    <row r="369">
      <c r="A369" s="42"/>
    </row>
    <row r="370">
      <c r="A370" s="42"/>
    </row>
    <row r="371">
      <c r="A371" s="42"/>
    </row>
    <row r="372">
      <c r="A372" s="42"/>
    </row>
    <row r="373">
      <c r="A373" s="42"/>
    </row>
    <row r="374">
      <c r="A374" s="42"/>
    </row>
    <row r="375">
      <c r="A375" s="42"/>
    </row>
    <row r="376">
      <c r="A376" s="42"/>
    </row>
    <row r="377">
      <c r="A377" s="42"/>
    </row>
    <row r="378">
      <c r="A378" s="42"/>
    </row>
    <row r="379">
      <c r="A379" s="42"/>
    </row>
    <row r="380">
      <c r="A380" s="42"/>
    </row>
    <row r="381">
      <c r="A381" s="42"/>
    </row>
    <row r="382">
      <c r="A382" s="42"/>
    </row>
    <row r="383">
      <c r="A383" s="42"/>
    </row>
    <row r="384">
      <c r="A384" s="42"/>
    </row>
    <row r="385">
      <c r="A385" s="42"/>
    </row>
    <row r="386">
      <c r="A386" s="42"/>
    </row>
    <row r="387">
      <c r="A387" s="42"/>
    </row>
    <row r="388">
      <c r="A388" s="42"/>
    </row>
    <row r="389">
      <c r="A389" s="42"/>
    </row>
    <row r="390">
      <c r="A390" s="42"/>
    </row>
    <row r="391">
      <c r="A391" s="42"/>
    </row>
    <row r="392">
      <c r="A392" s="42"/>
    </row>
    <row r="393">
      <c r="A393" s="42"/>
    </row>
    <row r="394">
      <c r="A394" s="42"/>
    </row>
    <row r="395">
      <c r="A395" s="42"/>
    </row>
    <row r="396">
      <c r="A396" s="42"/>
    </row>
    <row r="397">
      <c r="A397" s="42"/>
    </row>
    <row r="398">
      <c r="A398" s="42"/>
    </row>
    <row r="399">
      <c r="A399" s="42"/>
    </row>
    <row r="400">
      <c r="A400" s="42"/>
    </row>
    <row r="401">
      <c r="A401" s="42"/>
    </row>
    <row r="402">
      <c r="A402" s="42"/>
    </row>
    <row r="403">
      <c r="A403" s="42"/>
    </row>
    <row r="404">
      <c r="A404" s="42"/>
    </row>
    <row r="405">
      <c r="A405" s="42"/>
    </row>
    <row r="406">
      <c r="A406" s="42"/>
    </row>
    <row r="407">
      <c r="A407" s="42"/>
    </row>
    <row r="408">
      <c r="A408" s="42"/>
    </row>
    <row r="409">
      <c r="A409" s="42"/>
    </row>
    <row r="410">
      <c r="A410" s="42"/>
    </row>
    <row r="411">
      <c r="A411" s="42"/>
    </row>
    <row r="412">
      <c r="A412" s="42"/>
    </row>
    <row r="413">
      <c r="A413" s="42"/>
    </row>
    <row r="414">
      <c r="A414" s="42"/>
    </row>
    <row r="415">
      <c r="A415" s="42"/>
    </row>
    <row r="416">
      <c r="A416" s="42"/>
    </row>
    <row r="417">
      <c r="A417" s="42"/>
    </row>
    <row r="418">
      <c r="A418" s="42"/>
    </row>
    <row r="419">
      <c r="A419" s="42"/>
    </row>
    <row r="420">
      <c r="A420" s="42"/>
    </row>
    <row r="421">
      <c r="A421" s="42"/>
    </row>
    <row r="422">
      <c r="A422" s="42"/>
    </row>
    <row r="423">
      <c r="A423" s="42"/>
    </row>
    <row r="424">
      <c r="A424" s="42"/>
    </row>
    <row r="425">
      <c r="A425" s="42"/>
    </row>
    <row r="426">
      <c r="A426" s="42"/>
    </row>
    <row r="427">
      <c r="A427" s="42"/>
    </row>
    <row r="428">
      <c r="A428" s="42"/>
    </row>
    <row r="429">
      <c r="A429" s="42"/>
    </row>
    <row r="430">
      <c r="A430" s="42"/>
    </row>
    <row r="431">
      <c r="A431" s="42"/>
    </row>
    <row r="432">
      <c r="A432" s="42"/>
    </row>
    <row r="433">
      <c r="A433" s="42"/>
    </row>
    <row r="434">
      <c r="A434" s="42"/>
    </row>
    <row r="435">
      <c r="A435" s="42"/>
    </row>
    <row r="436">
      <c r="A436" s="42"/>
    </row>
    <row r="437">
      <c r="A437" s="42"/>
    </row>
    <row r="438">
      <c r="A438" s="42"/>
    </row>
    <row r="439">
      <c r="A439" s="42"/>
    </row>
    <row r="440">
      <c r="A440" s="42"/>
    </row>
    <row r="441">
      <c r="A441" s="42"/>
    </row>
    <row r="442">
      <c r="A442" s="42"/>
    </row>
    <row r="443">
      <c r="A443" s="42"/>
    </row>
    <row r="444">
      <c r="A444" s="42"/>
    </row>
    <row r="445">
      <c r="A445" s="42"/>
    </row>
    <row r="446">
      <c r="A446" s="42"/>
    </row>
    <row r="447">
      <c r="A447" s="42"/>
    </row>
    <row r="448">
      <c r="A448" s="42"/>
    </row>
    <row r="449">
      <c r="A449" s="42"/>
    </row>
    <row r="450">
      <c r="A450" s="42"/>
    </row>
    <row r="451">
      <c r="A451" s="42"/>
    </row>
    <row r="452">
      <c r="A452" s="42"/>
    </row>
    <row r="453">
      <c r="A453" s="42"/>
    </row>
    <row r="454">
      <c r="A454" s="42"/>
    </row>
    <row r="455">
      <c r="A455" s="42"/>
    </row>
    <row r="456">
      <c r="A456" s="42"/>
    </row>
    <row r="457">
      <c r="A457" s="42"/>
    </row>
    <row r="458">
      <c r="A458" s="42"/>
    </row>
    <row r="459">
      <c r="A459" s="42"/>
    </row>
    <row r="460">
      <c r="A460" s="42"/>
    </row>
    <row r="461">
      <c r="A461" s="42"/>
    </row>
    <row r="462">
      <c r="A462" s="42"/>
    </row>
    <row r="463">
      <c r="A463" s="42"/>
    </row>
    <row r="464">
      <c r="A464" s="42"/>
    </row>
    <row r="465">
      <c r="A465" s="42"/>
    </row>
    <row r="466">
      <c r="A466" s="42"/>
    </row>
    <row r="467">
      <c r="A467" s="42"/>
    </row>
    <row r="468">
      <c r="A468" s="42"/>
    </row>
    <row r="469">
      <c r="A469" s="42"/>
    </row>
    <row r="470">
      <c r="A470" s="42"/>
    </row>
    <row r="471">
      <c r="A471" s="42"/>
    </row>
    <row r="472">
      <c r="A472" s="42"/>
    </row>
    <row r="473">
      <c r="A473" s="42"/>
    </row>
    <row r="474">
      <c r="A474" s="42"/>
    </row>
    <row r="475">
      <c r="A475" s="42"/>
    </row>
    <row r="476">
      <c r="A476" s="42"/>
    </row>
    <row r="477">
      <c r="A477" s="42"/>
    </row>
    <row r="478">
      <c r="A478" s="42"/>
    </row>
    <row r="479">
      <c r="A479" s="42"/>
    </row>
    <row r="480">
      <c r="A480" s="42"/>
    </row>
    <row r="481">
      <c r="A481" s="42"/>
    </row>
    <row r="482">
      <c r="A482" s="42"/>
    </row>
    <row r="483">
      <c r="A483" s="42"/>
    </row>
    <row r="484">
      <c r="A484" s="42"/>
    </row>
    <row r="485">
      <c r="A485" s="42"/>
    </row>
    <row r="486">
      <c r="A486" s="42"/>
    </row>
    <row r="487">
      <c r="A487" s="42"/>
    </row>
    <row r="488">
      <c r="A488" s="42"/>
    </row>
    <row r="489">
      <c r="A489" s="42"/>
    </row>
    <row r="490">
      <c r="A490" s="42"/>
    </row>
    <row r="491">
      <c r="A491" s="42"/>
    </row>
    <row r="492">
      <c r="A492" s="42"/>
    </row>
    <row r="493">
      <c r="A493" s="42"/>
    </row>
    <row r="494">
      <c r="A494" s="42"/>
    </row>
    <row r="495">
      <c r="A495" s="42"/>
    </row>
    <row r="496">
      <c r="A496" s="42"/>
    </row>
    <row r="497">
      <c r="A497" s="42"/>
    </row>
    <row r="498">
      <c r="A498" s="42"/>
    </row>
    <row r="499">
      <c r="A499" s="42"/>
    </row>
    <row r="500">
      <c r="A500" s="42"/>
    </row>
    <row r="501">
      <c r="A501" s="42"/>
    </row>
    <row r="502">
      <c r="A502" s="42"/>
    </row>
    <row r="503">
      <c r="A503" s="42"/>
    </row>
    <row r="504">
      <c r="A504" s="42"/>
    </row>
    <row r="505">
      <c r="A505" s="42"/>
    </row>
    <row r="506">
      <c r="A506" s="42"/>
    </row>
    <row r="507">
      <c r="A507" s="42"/>
    </row>
    <row r="508">
      <c r="A508" s="42"/>
    </row>
    <row r="509">
      <c r="A509" s="42"/>
    </row>
    <row r="510">
      <c r="A510" s="42"/>
    </row>
    <row r="511">
      <c r="A511" s="42"/>
    </row>
    <row r="512">
      <c r="A512" s="42"/>
    </row>
    <row r="513">
      <c r="A513" s="42"/>
    </row>
    <row r="514">
      <c r="A514" s="42"/>
    </row>
    <row r="515">
      <c r="A515" s="42"/>
    </row>
    <row r="516">
      <c r="A516" s="42"/>
    </row>
    <row r="517">
      <c r="A517" s="42"/>
    </row>
    <row r="518">
      <c r="A518" s="42"/>
    </row>
    <row r="519">
      <c r="A519" s="42"/>
    </row>
    <row r="520">
      <c r="A520" s="42"/>
    </row>
    <row r="521">
      <c r="A521" s="42"/>
    </row>
    <row r="522">
      <c r="A522" s="42"/>
    </row>
    <row r="523">
      <c r="A523" s="42"/>
    </row>
    <row r="524">
      <c r="A524" s="42"/>
    </row>
    <row r="525">
      <c r="A525" s="42"/>
    </row>
    <row r="526">
      <c r="A526" s="42"/>
    </row>
    <row r="527">
      <c r="A527" s="42"/>
    </row>
    <row r="528">
      <c r="A528" s="42"/>
    </row>
    <row r="529">
      <c r="A529" s="42"/>
    </row>
    <row r="530">
      <c r="A530" s="42"/>
    </row>
    <row r="531">
      <c r="A531" s="42"/>
    </row>
    <row r="532">
      <c r="A532" s="42"/>
    </row>
    <row r="533">
      <c r="A533" s="42"/>
    </row>
    <row r="534">
      <c r="A534" s="42"/>
    </row>
    <row r="535">
      <c r="A535" s="42"/>
    </row>
    <row r="536">
      <c r="A536" s="42"/>
    </row>
    <row r="537">
      <c r="A537" s="42"/>
    </row>
    <row r="538">
      <c r="A538" s="42"/>
    </row>
    <row r="539">
      <c r="A539" s="42"/>
    </row>
    <row r="540">
      <c r="A540" s="42"/>
    </row>
    <row r="541">
      <c r="A541" s="42"/>
    </row>
    <row r="542">
      <c r="A542" s="42"/>
    </row>
    <row r="543">
      <c r="A543" s="42"/>
    </row>
    <row r="544">
      <c r="A544" s="42"/>
    </row>
    <row r="545">
      <c r="A545" s="42"/>
    </row>
    <row r="546">
      <c r="A546" s="42"/>
    </row>
    <row r="547">
      <c r="A547" s="42"/>
    </row>
    <row r="548">
      <c r="A548" s="42"/>
    </row>
    <row r="549">
      <c r="A549" s="42"/>
    </row>
    <row r="550">
      <c r="A550" s="42"/>
    </row>
    <row r="551">
      <c r="A551" s="42"/>
    </row>
    <row r="552">
      <c r="A552" s="42"/>
    </row>
    <row r="553">
      <c r="A553" s="42"/>
    </row>
    <row r="554">
      <c r="A554" s="42"/>
    </row>
    <row r="555">
      <c r="A555" s="42"/>
    </row>
    <row r="556">
      <c r="A556" s="42"/>
    </row>
    <row r="557">
      <c r="A557" s="42"/>
    </row>
    <row r="558">
      <c r="A558" s="42"/>
    </row>
    <row r="559">
      <c r="A559" s="42"/>
    </row>
    <row r="560">
      <c r="A560" s="42"/>
    </row>
    <row r="561">
      <c r="A561" s="42"/>
    </row>
    <row r="562">
      <c r="A562" s="42"/>
    </row>
    <row r="563">
      <c r="A563" s="42"/>
    </row>
    <row r="564">
      <c r="A564" s="42"/>
    </row>
    <row r="565">
      <c r="A565" s="42"/>
    </row>
    <row r="566">
      <c r="A566" s="42"/>
    </row>
    <row r="567">
      <c r="A567" s="42"/>
    </row>
    <row r="568">
      <c r="A568" s="42"/>
    </row>
    <row r="569">
      <c r="A569" s="42"/>
    </row>
    <row r="570">
      <c r="A570" s="42"/>
    </row>
    <row r="571">
      <c r="A571" s="42"/>
    </row>
    <row r="572">
      <c r="A572" s="42"/>
    </row>
    <row r="573">
      <c r="A573" s="42"/>
    </row>
    <row r="574">
      <c r="A574" s="42"/>
    </row>
    <row r="575">
      <c r="A575" s="42"/>
    </row>
    <row r="576">
      <c r="A576" s="42"/>
    </row>
    <row r="577">
      <c r="A577" s="42"/>
    </row>
    <row r="578">
      <c r="A578" s="42"/>
    </row>
    <row r="579">
      <c r="A579" s="42"/>
    </row>
    <row r="580">
      <c r="A580" s="42"/>
    </row>
    <row r="581">
      <c r="A581" s="42"/>
    </row>
    <row r="582">
      <c r="A582" s="42"/>
    </row>
    <row r="583">
      <c r="A583" s="42"/>
    </row>
    <row r="584">
      <c r="A584" s="42"/>
    </row>
    <row r="585">
      <c r="A585" s="42"/>
    </row>
    <row r="586">
      <c r="A586" s="42"/>
    </row>
    <row r="587">
      <c r="A587" s="42"/>
    </row>
    <row r="588">
      <c r="A588" s="42"/>
    </row>
    <row r="589">
      <c r="A589" s="42"/>
    </row>
    <row r="590">
      <c r="A590" s="42"/>
    </row>
    <row r="591">
      <c r="A591" s="42"/>
    </row>
    <row r="592">
      <c r="A592" s="42"/>
    </row>
    <row r="593">
      <c r="A593" s="42"/>
    </row>
    <row r="594">
      <c r="A594" s="42"/>
    </row>
    <row r="595">
      <c r="A595" s="42"/>
    </row>
    <row r="596">
      <c r="A596" s="42"/>
    </row>
    <row r="597">
      <c r="A597" s="42"/>
    </row>
    <row r="598">
      <c r="A598" s="42"/>
    </row>
    <row r="599">
      <c r="A599" s="42"/>
    </row>
    <row r="600">
      <c r="A600" s="42"/>
    </row>
    <row r="601">
      <c r="A601" s="42"/>
    </row>
    <row r="602">
      <c r="A602" s="42"/>
    </row>
    <row r="603">
      <c r="A603" s="42"/>
    </row>
    <row r="604">
      <c r="A604" s="42"/>
    </row>
    <row r="605">
      <c r="A605" s="42"/>
    </row>
    <row r="606">
      <c r="A606" s="42"/>
    </row>
    <row r="607">
      <c r="A607" s="42"/>
    </row>
    <row r="608">
      <c r="A608" s="42"/>
    </row>
    <row r="609">
      <c r="A609" s="42"/>
    </row>
    <row r="610">
      <c r="A610" s="42"/>
    </row>
    <row r="611">
      <c r="A611" s="42"/>
    </row>
    <row r="612">
      <c r="A612" s="42"/>
    </row>
    <row r="613">
      <c r="A613" s="42"/>
    </row>
    <row r="614">
      <c r="A614" s="42"/>
    </row>
    <row r="615">
      <c r="A615" s="42"/>
    </row>
    <row r="616">
      <c r="A616" s="42"/>
    </row>
    <row r="617">
      <c r="A617" s="42"/>
    </row>
    <row r="618">
      <c r="A618" s="42"/>
    </row>
    <row r="619">
      <c r="A619" s="42"/>
    </row>
    <row r="620">
      <c r="A620" s="42"/>
    </row>
    <row r="621">
      <c r="A621" s="42"/>
    </row>
    <row r="622">
      <c r="A622" s="42"/>
    </row>
    <row r="623">
      <c r="A623" s="42"/>
    </row>
    <row r="624">
      <c r="A624" s="42"/>
    </row>
    <row r="625">
      <c r="A625" s="42"/>
    </row>
    <row r="626">
      <c r="A626" s="42"/>
    </row>
    <row r="627">
      <c r="A627" s="42"/>
    </row>
    <row r="628">
      <c r="A628" s="42"/>
    </row>
    <row r="629">
      <c r="A629" s="42"/>
    </row>
    <row r="630">
      <c r="A630" s="42"/>
    </row>
    <row r="631">
      <c r="A631" s="42"/>
    </row>
    <row r="632">
      <c r="A632" s="42"/>
    </row>
    <row r="633">
      <c r="A633" s="42"/>
    </row>
    <row r="634">
      <c r="A634" s="42"/>
    </row>
    <row r="635">
      <c r="A635" s="42"/>
    </row>
    <row r="636">
      <c r="A636" s="42"/>
    </row>
    <row r="637">
      <c r="A637" s="42"/>
    </row>
    <row r="638">
      <c r="A638" s="42"/>
    </row>
    <row r="639">
      <c r="A639" s="42"/>
    </row>
    <row r="640">
      <c r="A640" s="42"/>
    </row>
    <row r="641">
      <c r="A641" s="42"/>
    </row>
    <row r="642">
      <c r="A642" s="42"/>
    </row>
    <row r="643">
      <c r="A643" s="42"/>
    </row>
    <row r="644">
      <c r="A644" s="42"/>
    </row>
    <row r="645">
      <c r="A645" s="42"/>
    </row>
    <row r="646">
      <c r="A646" s="42"/>
    </row>
    <row r="647">
      <c r="A647" s="42"/>
    </row>
    <row r="648">
      <c r="A648" s="42"/>
    </row>
    <row r="649">
      <c r="A649" s="42"/>
    </row>
    <row r="650">
      <c r="A650" s="42"/>
    </row>
    <row r="651">
      <c r="A651" s="42"/>
    </row>
    <row r="652">
      <c r="A652" s="42"/>
    </row>
    <row r="653">
      <c r="A653" s="42"/>
    </row>
    <row r="654">
      <c r="A654" s="42"/>
    </row>
    <row r="655">
      <c r="A655" s="42"/>
    </row>
    <row r="656">
      <c r="A656" s="42"/>
    </row>
    <row r="657">
      <c r="A657" s="42"/>
    </row>
    <row r="658">
      <c r="A658" s="42"/>
    </row>
    <row r="659">
      <c r="A659" s="42"/>
    </row>
    <row r="660">
      <c r="A660" s="42"/>
    </row>
    <row r="661">
      <c r="A661" s="42"/>
    </row>
    <row r="662">
      <c r="A662" s="42"/>
    </row>
    <row r="663">
      <c r="A663" s="42"/>
    </row>
    <row r="664">
      <c r="A664" s="42"/>
    </row>
    <row r="665">
      <c r="A665" s="42"/>
    </row>
    <row r="666">
      <c r="A666" s="42"/>
    </row>
    <row r="667">
      <c r="A667" s="42"/>
    </row>
    <row r="668">
      <c r="A668" s="42"/>
    </row>
    <row r="669">
      <c r="A669" s="42"/>
    </row>
    <row r="670">
      <c r="A670" s="42"/>
    </row>
    <row r="671">
      <c r="A671" s="42"/>
    </row>
    <row r="672">
      <c r="A672" s="42"/>
    </row>
    <row r="673">
      <c r="A673" s="42"/>
    </row>
    <row r="674">
      <c r="A674" s="42"/>
    </row>
    <row r="675">
      <c r="A675" s="42"/>
    </row>
    <row r="676">
      <c r="A676" s="42"/>
    </row>
    <row r="677">
      <c r="A677" s="42"/>
    </row>
    <row r="678">
      <c r="A678" s="42"/>
    </row>
    <row r="679">
      <c r="A679" s="42"/>
    </row>
    <row r="680">
      <c r="A680" s="42"/>
    </row>
    <row r="681">
      <c r="A681" s="42"/>
    </row>
    <row r="682">
      <c r="A682" s="42"/>
    </row>
    <row r="683">
      <c r="A683" s="42"/>
    </row>
    <row r="684">
      <c r="A684" s="42"/>
    </row>
    <row r="685">
      <c r="A685" s="42"/>
    </row>
    <row r="686">
      <c r="A686" s="42"/>
    </row>
    <row r="687">
      <c r="A687" s="42"/>
    </row>
    <row r="688">
      <c r="A688" s="42"/>
    </row>
    <row r="689">
      <c r="A689" s="42"/>
    </row>
    <row r="690">
      <c r="A690" s="42"/>
    </row>
    <row r="691">
      <c r="A691" s="42"/>
    </row>
    <row r="692">
      <c r="A692" s="42"/>
    </row>
    <row r="693">
      <c r="A693" s="42"/>
    </row>
    <row r="694">
      <c r="A694" s="42"/>
    </row>
    <row r="695">
      <c r="A695" s="42"/>
    </row>
    <row r="696">
      <c r="A696" s="42"/>
    </row>
    <row r="697">
      <c r="A697" s="42"/>
    </row>
    <row r="698">
      <c r="A698" s="42"/>
    </row>
    <row r="699">
      <c r="A699" s="42"/>
    </row>
    <row r="700">
      <c r="A700" s="42"/>
    </row>
    <row r="701">
      <c r="A701" s="42"/>
    </row>
    <row r="702">
      <c r="A702" s="42"/>
    </row>
    <row r="703">
      <c r="A703" s="42"/>
    </row>
    <row r="704">
      <c r="A704" s="42"/>
    </row>
    <row r="705">
      <c r="A705" s="42"/>
    </row>
    <row r="706">
      <c r="A706" s="42"/>
    </row>
    <row r="707">
      <c r="A707" s="42"/>
    </row>
    <row r="708">
      <c r="A708" s="42"/>
    </row>
    <row r="709">
      <c r="A709" s="42"/>
    </row>
    <row r="710">
      <c r="A710" s="42"/>
    </row>
    <row r="711">
      <c r="A711" s="42"/>
    </row>
    <row r="712">
      <c r="A712" s="42"/>
    </row>
    <row r="713">
      <c r="A713" s="42"/>
    </row>
    <row r="714">
      <c r="A714" s="42"/>
    </row>
    <row r="715">
      <c r="A715" s="42"/>
    </row>
    <row r="716">
      <c r="A716" s="42"/>
    </row>
    <row r="717">
      <c r="A717" s="42"/>
    </row>
    <row r="718">
      <c r="A718" s="42"/>
    </row>
    <row r="719">
      <c r="A719" s="42"/>
    </row>
    <row r="720">
      <c r="A720" s="42"/>
    </row>
    <row r="721">
      <c r="A721" s="42"/>
    </row>
    <row r="722">
      <c r="A722" s="42"/>
    </row>
    <row r="723">
      <c r="A723" s="42"/>
    </row>
    <row r="724">
      <c r="A724" s="42"/>
    </row>
    <row r="725">
      <c r="A725" s="42"/>
    </row>
    <row r="726">
      <c r="A726" s="42"/>
    </row>
    <row r="727">
      <c r="A727" s="42"/>
    </row>
    <row r="728">
      <c r="A728" s="42"/>
    </row>
    <row r="729">
      <c r="A729" s="42"/>
    </row>
    <row r="730">
      <c r="A730" s="42"/>
    </row>
    <row r="731">
      <c r="A731" s="42"/>
    </row>
    <row r="732">
      <c r="A732" s="42"/>
    </row>
    <row r="733">
      <c r="A733" s="42"/>
    </row>
    <row r="734">
      <c r="A734" s="42"/>
    </row>
    <row r="735">
      <c r="A735" s="42"/>
    </row>
    <row r="736">
      <c r="A736" s="42"/>
    </row>
    <row r="737">
      <c r="A737" s="42"/>
    </row>
    <row r="738">
      <c r="A738" s="42"/>
    </row>
    <row r="739">
      <c r="A739" s="42"/>
    </row>
    <row r="740">
      <c r="A740" s="42"/>
    </row>
    <row r="741">
      <c r="A741" s="42"/>
    </row>
    <row r="742">
      <c r="A742" s="42"/>
    </row>
    <row r="743">
      <c r="A743" s="42"/>
    </row>
    <row r="744">
      <c r="A744" s="42"/>
    </row>
    <row r="745">
      <c r="A745" s="42"/>
    </row>
    <row r="746">
      <c r="A746" s="42"/>
    </row>
    <row r="747">
      <c r="A747" s="42"/>
    </row>
    <row r="748">
      <c r="A748" s="42"/>
    </row>
    <row r="749">
      <c r="A749" s="42"/>
    </row>
    <row r="750">
      <c r="A750" s="42"/>
    </row>
    <row r="751">
      <c r="A751" s="42"/>
    </row>
    <row r="752">
      <c r="A752" s="42"/>
    </row>
    <row r="753">
      <c r="A753" s="42"/>
    </row>
    <row r="754">
      <c r="A754" s="42"/>
    </row>
    <row r="755">
      <c r="A755" s="42"/>
    </row>
    <row r="756">
      <c r="A756" s="42"/>
    </row>
    <row r="757">
      <c r="A757" s="42"/>
    </row>
    <row r="758">
      <c r="A758" s="42"/>
    </row>
    <row r="759">
      <c r="A759" s="42"/>
    </row>
    <row r="760">
      <c r="A760" s="42"/>
    </row>
    <row r="761">
      <c r="A761" s="42"/>
    </row>
    <row r="762">
      <c r="A762" s="42"/>
    </row>
    <row r="763">
      <c r="A763" s="42"/>
    </row>
    <row r="764">
      <c r="A764" s="42"/>
    </row>
    <row r="765">
      <c r="A765" s="42"/>
    </row>
    <row r="766">
      <c r="A766" s="42"/>
    </row>
    <row r="767">
      <c r="A767" s="42"/>
    </row>
    <row r="768">
      <c r="A768" s="42"/>
    </row>
    <row r="769">
      <c r="A769" s="42"/>
    </row>
    <row r="770">
      <c r="A770" s="42"/>
    </row>
    <row r="771">
      <c r="A771" s="42"/>
    </row>
    <row r="772">
      <c r="A772" s="42"/>
    </row>
    <row r="773">
      <c r="A773" s="42"/>
    </row>
    <row r="774">
      <c r="A774" s="42"/>
    </row>
    <row r="775">
      <c r="A775" s="42"/>
    </row>
    <row r="776">
      <c r="A776" s="42"/>
    </row>
    <row r="777">
      <c r="A777" s="42"/>
    </row>
    <row r="778">
      <c r="A778" s="42"/>
    </row>
    <row r="779">
      <c r="A779" s="42"/>
    </row>
    <row r="780">
      <c r="A780" s="42"/>
    </row>
    <row r="781">
      <c r="A781" s="42"/>
    </row>
    <row r="782">
      <c r="A782" s="42"/>
    </row>
    <row r="783">
      <c r="A783" s="42"/>
    </row>
    <row r="784">
      <c r="A784" s="42"/>
    </row>
    <row r="785">
      <c r="A785" s="42"/>
    </row>
    <row r="786">
      <c r="A786" s="42"/>
    </row>
    <row r="787">
      <c r="A787" s="42"/>
    </row>
    <row r="788">
      <c r="A788" s="42"/>
    </row>
    <row r="789">
      <c r="A789" s="42"/>
    </row>
    <row r="790">
      <c r="A790" s="42"/>
    </row>
    <row r="791">
      <c r="A791" s="42"/>
    </row>
    <row r="792">
      <c r="A792" s="42"/>
    </row>
    <row r="793">
      <c r="A793" s="42"/>
    </row>
    <row r="794">
      <c r="A794" s="42"/>
    </row>
    <row r="795">
      <c r="A795" s="42"/>
    </row>
    <row r="796">
      <c r="A796" s="42"/>
    </row>
    <row r="797">
      <c r="A797" s="42"/>
    </row>
    <row r="798">
      <c r="A798" s="42"/>
    </row>
    <row r="799">
      <c r="A799" s="42"/>
    </row>
    <row r="800">
      <c r="A800" s="42"/>
    </row>
    <row r="801">
      <c r="A801" s="42"/>
    </row>
    <row r="802">
      <c r="A802" s="42"/>
    </row>
    <row r="803">
      <c r="A803" s="42"/>
    </row>
    <row r="804">
      <c r="A804" s="42"/>
    </row>
    <row r="805">
      <c r="A805" s="42"/>
    </row>
    <row r="806">
      <c r="A806" s="42"/>
    </row>
    <row r="807">
      <c r="A807" s="42"/>
    </row>
    <row r="808">
      <c r="A808" s="42"/>
    </row>
    <row r="809">
      <c r="A809" s="42"/>
    </row>
    <row r="810">
      <c r="A810" s="42"/>
    </row>
    <row r="811">
      <c r="A811" s="42"/>
    </row>
    <row r="812">
      <c r="A812" s="42"/>
    </row>
    <row r="813">
      <c r="A813" s="42"/>
    </row>
    <row r="814">
      <c r="A814" s="42"/>
    </row>
    <row r="815">
      <c r="A815" s="42"/>
    </row>
    <row r="816">
      <c r="A816" s="42"/>
    </row>
    <row r="817">
      <c r="A817" s="42"/>
    </row>
    <row r="818">
      <c r="A818" s="42"/>
    </row>
    <row r="819">
      <c r="A819" s="42"/>
    </row>
    <row r="820">
      <c r="A820" s="42"/>
    </row>
    <row r="821">
      <c r="A821" s="42"/>
    </row>
    <row r="822">
      <c r="A822" s="42"/>
    </row>
    <row r="823">
      <c r="A823" s="42"/>
    </row>
    <row r="824">
      <c r="A824" s="42"/>
    </row>
    <row r="825">
      <c r="A825" s="42"/>
    </row>
    <row r="826">
      <c r="A826" s="42"/>
    </row>
    <row r="827">
      <c r="A827" s="42"/>
    </row>
    <row r="828">
      <c r="A828" s="42"/>
    </row>
    <row r="829">
      <c r="A829" s="42"/>
    </row>
    <row r="830">
      <c r="A830" s="42"/>
    </row>
    <row r="831">
      <c r="A831" s="42"/>
    </row>
    <row r="832">
      <c r="A832" s="42"/>
    </row>
    <row r="833">
      <c r="A833" s="42"/>
    </row>
    <row r="834">
      <c r="A834" s="42"/>
    </row>
    <row r="835">
      <c r="A835" s="42"/>
    </row>
    <row r="836">
      <c r="A836" s="42"/>
    </row>
    <row r="837">
      <c r="A837" s="42"/>
    </row>
    <row r="838">
      <c r="A838" s="42"/>
    </row>
    <row r="839">
      <c r="A839" s="42"/>
    </row>
    <row r="840">
      <c r="A840" s="42"/>
    </row>
    <row r="841">
      <c r="A841" s="42"/>
    </row>
    <row r="842">
      <c r="A842" s="42"/>
    </row>
    <row r="843">
      <c r="A843" s="42"/>
    </row>
    <row r="844">
      <c r="A844" s="42"/>
    </row>
    <row r="845">
      <c r="A845" s="42"/>
    </row>
    <row r="846">
      <c r="A846" s="42"/>
    </row>
    <row r="847">
      <c r="A847" s="42"/>
    </row>
    <row r="848">
      <c r="A848" s="42"/>
    </row>
    <row r="849">
      <c r="A849" s="42"/>
    </row>
    <row r="850">
      <c r="A850" s="42"/>
    </row>
    <row r="851">
      <c r="A851" s="42"/>
    </row>
    <row r="852">
      <c r="A852" s="42"/>
    </row>
    <row r="853">
      <c r="A853" s="42"/>
    </row>
    <row r="854">
      <c r="A854" s="42"/>
    </row>
    <row r="855">
      <c r="A855" s="42"/>
    </row>
    <row r="856">
      <c r="A856" s="42"/>
    </row>
    <row r="857">
      <c r="A857" s="42"/>
    </row>
    <row r="858">
      <c r="A858" s="42"/>
    </row>
    <row r="859">
      <c r="A859" s="42"/>
    </row>
    <row r="860">
      <c r="A860" s="42"/>
    </row>
    <row r="861">
      <c r="A861" s="42"/>
    </row>
    <row r="862">
      <c r="A862" s="42"/>
    </row>
    <row r="863">
      <c r="A863" s="42"/>
    </row>
    <row r="864">
      <c r="A864" s="42"/>
    </row>
    <row r="865">
      <c r="A865" s="42"/>
    </row>
    <row r="866">
      <c r="A866" s="42"/>
    </row>
    <row r="867">
      <c r="A867" s="42"/>
    </row>
    <row r="868">
      <c r="A868" s="42"/>
    </row>
    <row r="869">
      <c r="A869" s="42"/>
    </row>
    <row r="870">
      <c r="A870" s="42"/>
    </row>
    <row r="871">
      <c r="A871" s="42"/>
    </row>
    <row r="872">
      <c r="A872" s="42"/>
    </row>
    <row r="873">
      <c r="A873" s="42"/>
    </row>
    <row r="874">
      <c r="A874" s="42"/>
    </row>
    <row r="875">
      <c r="A875" s="42"/>
    </row>
    <row r="876">
      <c r="A876" s="42"/>
    </row>
    <row r="877">
      <c r="A877" s="42"/>
    </row>
    <row r="878">
      <c r="A878" s="42"/>
    </row>
    <row r="879">
      <c r="A879" s="42"/>
    </row>
    <row r="880">
      <c r="A880" s="42"/>
    </row>
    <row r="881">
      <c r="A881" s="42"/>
    </row>
    <row r="882">
      <c r="A882" s="42"/>
    </row>
    <row r="883">
      <c r="A883" s="42"/>
    </row>
    <row r="884">
      <c r="A884" s="42"/>
    </row>
    <row r="885">
      <c r="A885" s="42"/>
    </row>
    <row r="886">
      <c r="A886" s="42"/>
    </row>
    <row r="887">
      <c r="A887" s="42"/>
    </row>
    <row r="888">
      <c r="A888" s="42"/>
    </row>
    <row r="889">
      <c r="A889" s="42"/>
    </row>
    <row r="890">
      <c r="A890" s="42"/>
    </row>
    <row r="891">
      <c r="A891" s="42"/>
    </row>
    <row r="892">
      <c r="A892" s="42"/>
    </row>
    <row r="893">
      <c r="A893" s="42"/>
    </row>
    <row r="894">
      <c r="A894" s="42"/>
    </row>
    <row r="895">
      <c r="A895" s="42"/>
    </row>
    <row r="896">
      <c r="A896" s="42"/>
    </row>
    <row r="897">
      <c r="A897" s="42"/>
    </row>
    <row r="898">
      <c r="A898" s="42"/>
    </row>
    <row r="899">
      <c r="A899" s="42"/>
    </row>
    <row r="900">
      <c r="A900" s="42"/>
    </row>
    <row r="901">
      <c r="A901" s="42"/>
    </row>
    <row r="902">
      <c r="A902" s="42"/>
    </row>
    <row r="903">
      <c r="A903" s="42"/>
    </row>
    <row r="904">
      <c r="A904" s="42"/>
    </row>
    <row r="905">
      <c r="A905" s="42"/>
    </row>
    <row r="906">
      <c r="A906" s="42"/>
    </row>
    <row r="907">
      <c r="A907" s="42"/>
    </row>
    <row r="908">
      <c r="A908" s="42"/>
    </row>
    <row r="909">
      <c r="A909" s="42"/>
    </row>
    <row r="910">
      <c r="A910" s="42"/>
    </row>
    <row r="911">
      <c r="A911" s="42"/>
    </row>
    <row r="912">
      <c r="A912" s="42"/>
    </row>
    <row r="913">
      <c r="A913" s="42"/>
    </row>
    <row r="914">
      <c r="A914" s="42"/>
    </row>
    <row r="915">
      <c r="A915" s="42"/>
    </row>
    <row r="916">
      <c r="A916" s="42"/>
    </row>
    <row r="917">
      <c r="A917" s="42"/>
    </row>
    <row r="918">
      <c r="A918" s="42"/>
    </row>
    <row r="919">
      <c r="A919" s="42"/>
    </row>
    <row r="920">
      <c r="A920" s="42"/>
    </row>
    <row r="921">
      <c r="A921" s="42"/>
    </row>
    <row r="922">
      <c r="A922" s="42"/>
    </row>
    <row r="923">
      <c r="A923" s="42"/>
    </row>
    <row r="924">
      <c r="A924" s="42"/>
    </row>
    <row r="925">
      <c r="A925" s="42"/>
    </row>
    <row r="926">
      <c r="A926" s="42"/>
    </row>
    <row r="927">
      <c r="A927" s="42"/>
    </row>
    <row r="928">
      <c r="A928" s="42"/>
    </row>
    <row r="929">
      <c r="A929" s="42"/>
    </row>
    <row r="930">
      <c r="A930" s="42"/>
    </row>
    <row r="931">
      <c r="A931" s="42"/>
    </row>
    <row r="932">
      <c r="A932" s="42"/>
    </row>
    <row r="933">
      <c r="A933" s="42"/>
    </row>
    <row r="934">
      <c r="A934" s="42"/>
    </row>
    <row r="935">
      <c r="A935" s="42"/>
    </row>
    <row r="936">
      <c r="A936" s="42"/>
    </row>
    <row r="937">
      <c r="A937" s="42"/>
    </row>
    <row r="938">
      <c r="A938" s="42"/>
    </row>
    <row r="939">
      <c r="A939" s="42"/>
    </row>
    <row r="940">
      <c r="A940" s="42"/>
    </row>
    <row r="941">
      <c r="A941" s="42"/>
    </row>
    <row r="942">
      <c r="A942" s="42"/>
    </row>
    <row r="943">
      <c r="A943" s="42"/>
    </row>
    <row r="944">
      <c r="A944" s="42"/>
    </row>
    <row r="945">
      <c r="A945" s="42"/>
    </row>
    <row r="946">
      <c r="A946" s="42"/>
    </row>
    <row r="947">
      <c r="A947" s="42"/>
    </row>
    <row r="948">
      <c r="A948" s="42"/>
    </row>
    <row r="949">
      <c r="A949" s="42"/>
    </row>
    <row r="950">
      <c r="A950" s="42"/>
    </row>
    <row r="951">
      <c r="A951" s="42"/>
    </row>
    <row r="952">
      <c r="A952" s="42"/>
    </row>
    <row r="953">
      <c r="A953" s="42"/>
    </row>
    <row r="954">
      <c r="A954" s="42"/>
    </row>
    <row r="955">
      <c r="A955" s="42"/>
    </row>
    <row r="956">
      <c r="A956" s="42"/>
    </row>
    <row r="957">
      <c r="A957" s="42"/>
    </row>
    <row r="958">
      <c r="A958" s="42"/>
    </row>
    <row r="959">
      <c r="A959" s="42"/>
    </row>
    <row r="960">
      <c r="A960" s="42"/>
    </row>
    <row r="961">
      <c r="A961" s="42"/>
    </row>
    <row r="962">
      <c r="A962" s="42"/>
    </row>
    <row r="963">
      <c r="A963" s="42"/>
    </row>
    <row r="964">
      <c r="A964" s="42"/>
    </row>
    <row r="965">
      <c r="A965" s="42"/>
    </row>
    <row r="966">
      <c r="A966" s="42"/>
    </row>
    <row r="967">
      <c r="A967" s="42"/>
    </row>
    <row r="968">
      <c r="A968" s="42"/>
    </row>
    <row r="969">
      <c r="A969" s="42"/>
    </row>
    <row r="970">
      <c r="A970" s="42"/>
    </row>
    <row r="971">
      <c r="A971" s="42"/>
    </row>
    <row r="972">
      <c r="A972" s="42"/>
    </row>
    <row r="973">
      <c r="A973" s="42"/>
    </row>
    <row r="974">
      <c r="A974" s="42"/>
    </row>
    <row r="975">
      <c r="A975" s="42"/>
    </row>
    <row r="976">
      <c r="A976" s="42"/>
    </row>
    <row r="977">
      <c r="A977" s="42"/>
    </row>
    <row r="978">
      <c r="A978" s="42"/>
    </row>
    <row r="979">
      <c r="A979" s="42"/>
    </row>
    <row r="980">
      <c r="A980" s="42"/>
    </row>
    <row r="981">
      <c r="A981" s="42"/>
    </row>
    <row r="982">
      <c r="A982" s="42"/>
    </row>
    <row r="983">
      <c r="A983" s="42"/>
    </row>
    <row r="984">
      <c r="A984" s="42"/>
    </row>
    <row r="985">
      <c r="A985" s="42"/>
    </row>
    <row r="986">
      <c r="A986" s="42"/>
    </row>
    <row r="987">
      <c r="A987" s="42"/>
    </row>
    <row r="988">
      <c r="A988" s="42"/>
    </row>
    <row r="989">
      <c r="A989" s="42"/>
    </row>
    <row r="990">
      <c r="A990" s="42"/>
    </row>
    <row r="991">
      <c r="A991" s="42"/>
    </row>
    <row r="992">
      <c r="A992" s="42"/>
    </row>
    <row r="993">
      <c r="A993" s="42"/>
    </row>
    <row r="994">
      <c r="A994" s="42"/>
    </row>
    <row r="995">
      <c r="A995" s="42"/>
    </row>
    <row r="996">
      <c r="A996" s="42"/>
    </row>
    <row r="997">
      <c r="A997" s="42"/>
    </row>
    <row r="998">
      <c r="A998" s="42"/>
    </row>
    <row r="999">
      <c r="A999" s="42"/>
    </row>
    <row r="1000">
      <c r="A1000" s="42"/>
    </row>
  </sheetData>
  <drawing r:id="rId1"/>
</worksheet>
</file>